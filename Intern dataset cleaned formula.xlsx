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c8104b4c9989d81/Desktop/Rynix Soft/"/>
    </mc:Choice>
  </mc:AlternateContent>
  <xr:revisionPtr revIDLastSave="0" documentId="14_{1100686A-F21B-46CA-B74F-27BE91955BF5}" xr6:coauthVersionLast="47" xr6:coauthVersionMax="47" xr10:uidLastSave="{00000000-0000-0000-0000-000000000000}"/>
  <bookViews>
    <workbookView xWindow="-120" yWindow="-120" windowWidth="20730" windowHeight="11040" xr2:uid="{46E0F297-B632-4D8B-95D2-43DCF8EFE074}"/>
  </bookViews>
  <sheets>
    <sheet name="Internship dataset uncleaned" sheetId="1" r:id="rId1"/>
  </sheets>
  <calcPr calcId="191029"/>
</workbook>
</file>

<file path=xl/calcChain.xml><?xml version="1.0" encoding="utf-8"?>
<calcChain xmlns="http://schemas.openxmlformats.org/spreadsheetml/2006/main">
  <c r="X50" i="1" l="1"/>
  <c r="X51" i="1"/>
  <c r="Y51" i="1" s="1"/>
  <c r="X3" i="1"/>
  <c r="Y3" i="1" s="1"/>
  <c r="X4" i="1"/>
  <c r="Y4" i="1" s="1"/>
  <c r="X5" i="1"/>
  <c r="Y5" i="1" s="1"/>
  <c r="X6" i="1"/>
  <c r="Y6" i="1" s="1"/>
  <c r="X7" i="1"/>
  <c r="Y7" i="1" s="1"/>
  <c r="X8" i="1"/>
  <c r="X9" i="1"/>
  <c r="X10" i="1"/>
  <c r="Y10" i="1" s="1"/>
  <c r="X11" i="1"/>
  <c r="Y11" i="1" s="1"/>
  <c r="X12" i="1"/>
  <c r="X13" i="1"/>
  <c r="Y13" i="1" s="1"/>
  <c r="X14" i="1"/>
  <c r="Y14" i="1" s="1"/>
  <c r="X15" i="1"/>
  <c r="Y15" i="1" s="1"/>
  <c r="X16" i="1"/>
  <c r="Y16" i="1" s="1"/>
  <c r="X17" i="1"/>
  <c r="X18" i="1"/>
  <c r="X19" i="1"/>
  <c r="Y19" i="1" s="1"/>
  <c r="X20" i="1"/>
  <c r="Y20" i="1" s="1"/>
  <c r="X21" i="1"/>
  <c r="Y21" i="1" s="1"/>
  <c r="X22" i="1"/>
  <c r="Y22" i="1" s="1"/>
  <c r="X23" i="1"/>
  <c r="Y23" i="1" s="1"/>
  <c r="X24" i="1"/>
  <c r="Y24" i="1" s="1"/>
  <c r="X25" i="1"/>
  <c r="Y25" i="1" s="1"/>
  <c r="X26" i="1"/>
  <c r="Y26" i="1" s="1"/>
  <c r="X27" i="1"/>
  <c r="Y27" i="1" s="1"/>
  <c r="X28" i="1"/>
  <c r="Y28" i="1" s="1"/>
  <c r="X29" i="1"/>
  <c r="Y29" i="1" s="1"/>
  <c r="X30" i="1"/>
  <c r="Y30" i="1" s="1"/>
  <c r="X31" i="1"/>
  <c r="Y31" i="1" s="1"/>
  <c r="X32" i="1"/>
  <c r="Y32" i="1" s="1"/>
  <c r="X33" i="1"/>
  <c r="Y33" i="1" s="1"/>
  <c r="X34" i="1"/>
  <c r="Y34" i="1" s="1"/>
  <c r="X35" i="1"/>
  <c r="Y35" i="1" s="1"/>
  <c r="X36" i="1"/>
  <c r="X37" i="1"/>
  <c r="Y37" i="1" s="1"/>
  <c r="X38" i="1"/>
  <c r="Y38" i="1" s="1"/>
  <c r="X39" i="1"/>
  <c r="X40" i="1"/>
  <c r="Y40" i="1" s="1"/>
  <c r="X41" i="1"/>
  <c r="Y41" i="1" s="1"/>
  <c r="X42" i="1"/>
  <c r="Y42" i="1" s="1"/>
  <c r="X43" i="1"/>
  <c r="Y43" i="1" s="1"/>
  <c r="X44" i="1"/>
  <c r="X45" i="1"/>
  <c r="Y45" i="1" s="1"/>
  <c r="X46" i="1"/>
  <c r="Y46" i="1" s="1"/>
  <c r="X47" i="1"/>
  <c r="X48" i="1"/>
  <c r="Y48" i="1" s="1"/>
  <c r="X49" i="1"/>
  <c r="Y49" i="1" s="1"/>
  <c r="X2" i="1"/>
  <c r="Y2" i="1" s="1"/>
  <c r="V51" i="1"/>
  <c r="W51" i="1" s="1"/>
  <c r="V3" i="1"/>
  <c r="W3" i="1" s="1"/>
  <c r="V4" i="1"/>
  <c r="W4" i="1" s="1"/>
  <c r="V5" i="1"/>
  <c r="W5" i="1" s="1"/>
  <c r="V6" i="1"/>
  <c r="W6" i="1" s="1"/>
  <c r="V7" i="1"/>
  <c r="W7" i="1" s="1"/>
  <c r="V8" i="1"/>
  <c r="W8" i="1" s="1"/>
  <c r="V9" i="1"/>
  <c r="W9" i="1" s="1"/>
  <c r="V10" i="1"/>
  <c r="W10" i="1" s="1"/>
  <c r="V11" i="1"/>
  <c r="W11" i="1" s="1"/>
  <c r="V12" i="1"/>
  <c r="W12" i="1" s="1"/>
  <c r="V13" i="1"/>
  <c r="W13" i="1" s="1"/>
  <c r="V14" i="1"/>
  <c r="W14" i="1" s="1"/>
  <c r="V15" i="1"/>
  <c r="W15" i="1" s="1"/>
  <c r="V16" i="1"/>
  <c r="W16" i="1" s="1"/>
  <c r="V17" i="1"/>
  <c r="W17" i="1" s="1"/>
  <c r="V18" i="1"/>
  <c r="W18" i="1" s="1"/>
  <c r="V19" i="1"/>
  <c r="W19" i="1" s="1"/>
  <c r="V20" i="1"/>
  <c r="W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W26" i="1" s="1"/>
  <c r="V27" i="1"/>
  <c r="W27" i="1" s="1"/>
  <c r="V28" i="1"/>
  <c r="W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W47" i="1" s="1"/>
  <c r="V48" i="1"/>
  <c r="W48" i="1" s="1"/>
  <c r="V49" i="1"/>
  <c r="W49" i="1" s="1"/>
  <c r="V50" i="1"/>
  <c r="W50" i="1" s="1"/>
  <c r="V2" i="1"/>
  <c r="W2" i="1" s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3" i="1"/>
  <c r="L4" i="1"/>
  <c r="L5" i="1"/>
  <c r="L6" i="1"/>
  <c r="L7" i="1"/>
  <c r="L8" i="1"/>
  <c r="L9" i="1"/>
  <c r="L10" i="1"/>
  <c r="L2" i="1"/>
  <c r="Z9" i="1" l="1"/>
  <c r="AA9" i="1" s="1"/>
  <c r="Z23" i="1"/>
  <c r="AA23" i="1" s="1"/>
  <c r="Z7" i="1"/>
  <c r="AA7" i="1" s="1"/>
  <c r="Z47" i="1"/>
  <c r="AA47" i="1" s="1"/>
  <c r="Z39" i="1"/>
  <c r="AA39" i="1" s="1"/>
  <c r="Z45" i="1"/>
  <c r="AA45" i="1" s="1"/>
  <c r="Z37" i="1"/>
  <c r="AA37" i="1" s="1"/>
  <c r="Z17" i="1"/>
  <c r="AA17" i="1" s="1"/>
  <c r="Z50" i="1"/>
  <c r="AA50" i="1" s="1"/>
  <c r="Z15" i="1"/>
  <c r="AA15" i="1" s="1"/>
  <c r="Z30" i="1"/>
  <c r="AA30" i="1" s="1"/>
  <c r="Z14" i="1"/>
  <c r="AA14" i="1" s="1"/>
  <c r="Z43" i="1"/>
  <c r="AA43" i="1" s="1"/>
  <c r="Z19" i="1"/>
  <c r="AA19" i="1" s="1"/>
  <c r="Z3" i="1"/>
  <c r="AA3" i="1" s="1"/>
  <c r="Z41" i="1"/>
  <c r="AA41" i="1" s="1"/>
  <c r="Z26" i="1"/>
  <c r="AA26" i="1" s="1"/>
  <c r="Z51" i="1"/>
  <c r="AA51" i="1" s="1"/>
  <c r="Y50" i="1"/>
  <c r="Z11" i="1"/>
  <c r="AA11" i="1" s="1"/>
  <c r="Z49" i="1"/>
  <c r="AA49" i="1" s="1"/>
  <c r="Z34" i="1"/>
  <c r="AA34" i="1" s="1"/>
  <c r="Z10" i="1"/>
  <c r="AA10" i="1" s="1"/>
  <c r="Z48" i="1"/>
  <c r="AA48" i="1" s="1"/>
  <c r="Z40" i="1"/>
  <c r="AA40" i="1" s="1"/>
  <c r="Z33" i="1"/>
  <c r="AA33" i="1" s="1"/>
  <c r="Z18" i="1"/>
  <c r="AA18" i="1" s="1"/>
  <c r="Z46" i="1"/>
  <c r="AA46" i="1" s="1"/>
  <c r="Z38" i="1"/>
  <c r="AA38" i="1" s="1"/>
  <c r="Z24" i="1"/>
  <c r="AA24" i="1" s="1"/>
  <c r="Z16" i="1"/>
  <c r="AA16" i="1" s="1"/>
  <c r="Z8" i="1"/>
  <c r="AA8" i="1" s="1"/>
  <c r="Z31" i="1"/>
  <c r="AA31" i="1" s="1"/>
  <c r="Z44" i="1"/>
  <c r="AA44" i="1" s="1"/>
  <c r="Z36" i="1"/>
  <c r="AA36" i="1" s="1"/>
  <c r="Z12" i="1"/>
  <c r="AA12" i="1" s="1"/>
  <c r="Z2" i="1"/>
  <c r="AA2" i="1" s="1"/>
  <c r="Y9" i="1"/>
  <c r="Y18" i="1"/>
  <c r="Z4" i="1"/>
  <c r="AA4" i="1" s="1"/>
  <c r="Z32" i="1"/>
  <c r="AA32" i="1" s="1"/>
  <c r="Z25" i="1"/>
  <c r="AA25" i="1" s="1"/>
  <c r="Z42" i="1"/>
  <c r="AA42" i="1" s="1"/>
  <c r="Z35" i="1"/>
  <c r="AA35" i="1" s="1"/>
  <c r="Y8" i="1"/>
  <c r="Y47" i="1"/>
  <c r="Y39" i="1"/>
  <c r="Y17" i="1"/>
  <c r="Z6" i="1"/>
  <c r="AA6" i="1" s="1"/>
  <c r="Z5" i="1"/>
  <c r="AA5" i="1" s="1"/>
  <c r="Z29" i="1"/>
  <c r="AA29" i="1" s="1"/>
  <c r="Z22" i="1"/>
  <c r="AA22" i="1" s="1"/>
  <c r="Y44" i="1"/>
  <c r="Y36" i="1"/>
  <c r="Z13" i="1"/>
  <c r="AA13" i="1" s="1"/>
  <c r="Z28" i="1"/>
  <c r="AA28" i="1" s="1"/>
  <c r="Z21" i="1"/>
  <c r="AA21" i="1" s="1"/>
  <c r="Y12" i="1"/>
  <c r="Z27" i="1"/>
  <c r="AA27" i="1" s="1"/>
  <c r="Z20" i="1"/>
  <c r="AA20" i="1" s="1"/>
</calcChain>
</file>

<file path=xl/sharedStrings.xml><?xml version="1.0" encoding="utf-8"?>
<sst xmlns="http://schemas.openxmlformats.org/spreadsheetml/2006/main" count="577" uniqueCount="190">
  <si>
    <t>internid</t>
  </si>
  <si>
    <t>Name</t>
  </si>
  <si>
    <t>email id</t>
  </si>
  <si>
    <t>Gender</t>
  </si>
  <si>
    <t>Phone number</t>
  </si>
  <si>
    <t>Domain</t>
  </si>
  <si>
    <t>Date Range</t>
  </si>
  <si>
    <t>total days</t>
  </si>
  <si>
    <t>sod filled</t>
  </si>
  <si>
    <t>eod filled</t>
  </si>
  <si>
    <t>Attendance</t>
  </si>
  <si>
    <t>Task1_completed</t>
  </si>
  <si>
    <t>Task1 score</t>
  </si>
  <si>
    <t>Task2completed</t>
  </si>
  <si>
    <t>Task 2 Score</t>
  </si>
  <si>
    <t>Task3 completed</t>
  </si>
  <si>
    <t>Task 3 Score</t>
  </si>
  <si>
    <t>Task4 completed</t>
  </si>
  <si>
    <t>Task4 Score</t>
  </si>
  <si>
    <t>Count overall task</t>
  </si>
  <si>
    <t>Task completion</t>
  </si>
  <si>
    <t>performance Score</t>
  </si>
  <si>
    <t>performance status</t>
  </si>
  <si>
    <t>Stipend</t>
  </si>
  <si>
    <t>Hiring Recommendation</t>
  </si>
  <si>
    <t>INT001</t>
  </si>
  <si>
    <t>1/3/2026-1/4/2026</t>
  </si>
  <si>
    <t>Yes</t>
  </si>
  <si>
    <t>INT002</t>
  </si>
  <si>
    <t>ishita@example.com</t>
  </si>
  <si>
    <t>Female</t>
  </si>
  <si>
    <t>INT003</t>
  </si>
  <si>
    <t>rohan@example.com</t>
  </si>
  <si>
    <t>Male</t>
  </si>
  <si>
    <t>No</t>
  </si>
  <si>
    <t>priya@example.com</t>
  </si>
  <si>
    <t>Python</t>
  </si>
  <si>
    <t>INT005</t>
  </si>
  <si>
    <t>Java</t>
  </si>
  <si>
    <t>INT006</t>
  </si>
  <si>
    <t>sanya@example.com</t>
  </si>
  <si>
    <t>INT007</t>
  </si>
  <si>
    <t>vikram@example.com</t>
  </si>
  <si>
    <t>Web Dev</t>
  </si>
  <si>
    <t>INT008</t>
  </si>
  <si>
    <t>ananya@example.com</t>
  </si>
  <si>
    <t>INT009</t>
  </si>
  <si>
    <t>INT010</t>
  </si>
  <si>
    <t>arjun@example.com</t>
  </si>
  <si>
    <t>Data Science</t>
  </si>
  <si>
    <t>INT012</t>
  </si>
  <si>
    <t>sneha@example.com</t>
  </si>
  <si>
    <t>INT013</t>
  </si>
  <si>
    <t>manish@example.com</t>
  </si>
  <si>
    <t>INT015</t>
  </si>
  <si>
    <t>varun@example.com</t>
  </si>
  <si>
    <t>INT016</t>
  </si>
  <si>
    <t>INT017</t>
  </si>
  <si>
    <t>sid@example.com</t>
  </si>
  <si>
    <t>INT018</t>
  </si>
  <si>
    <t>INT019</t>
  </si>
  <si>
    <t>ayush@example.com</t>
  </si>
  <si>
    <t>INT021</t>
  </si>
  <si>
    <t>ranbir@example.com</t>
  </si>
  <si>
    <t>INT022</t>
  </si>
  <si>
    <t>INT023</t>
  </si>
  <si>
    <t>sara@example.com</t>
  </si>
  <si>
    <t>INT025</t>
  </si>
  <si>
    <t>vicky@example.com</t>
  </si>
  <si>
    <t>katrina@example.com</t>
  </si>
  <si>
    <t>INT027</t>
  </si>
  <si>
    <t>hrithik@example.com</t>
  </si>
  <si>
    <t>kriti@example.com</t>
  </si>
  <si>
    <t>tiger@example.com</t>
  </si>
  <si>
    <t>INT030</t>
  </si>
  <si>
    <t>rashmika@example.com</t>
  </si>
  <si>
    <t>INT031</t>
  </si>
  <si>
    <t>vijay@example.com</t>
  </si>
  <si>
    <t>samantha@example.com</t>
  </si>
  <si>
    <t>INT033</t>
  </si>
  <si>
    <t>prabhas@example.com</t>
  </si>
  <si>
    <t>INT034</t>
  </si>
  <si>
    <t>nayan@example.com</t>
  </si>
  <si>
    <t>INT035</t>
  </si>
  <si>
    <t>allu@example.com</t>
  </si>
  <si>
    <t>INT036</t>
  </si>
  <si>
    <t>trisha@example.com</t>
  </si>
  <si>
    <t>INT038</t>
  </si>
  <si>
    <t>tam@example.com</t>
  </si>
  <si>
    <t>mahesh@example.com</t>
  </si>
  <si>
    <t>INT040</t>
  </si>
  <si>
    <t>yash@example.com</t>
  </si>
  <si>
    <t>nani@example.com</t>
  </si>
  <si>
    <t>dhanush@example.com</t>
  </si>
  <si>
    <t>INT046</t>
  </si>
  <si>
    <t>kajal@example.com</t>
  </si>
  <si>
    <t>surya@example.com</t>
  </si>
  <si>
    <t>INT048</t>
  </si>
  <si>
    <t>INT049</t>
  </si>
  <si>
    <t>dulquer@example.com</t>
  </si>
  <si>
    <t>anushka@example.com</t>
  </si>
  <si>
    <t>INT004</t>
  </si>
  <si>
    <t>INT011</t>
  </si>
  <si>
    <t>INT014</t>
  </si>
  <si>
    <t>INT020</t>
  </si>
  <si>
    <t>INT024</t>
  </si>
  <si>
    <t>INT026</t>
  </si>
  <si>
    <t>INT028</t>
  </si>
  <si>
    <t>INT029</t>
  </si>
  <si>
    <t>INT032</t>
  </si>
  <si>
    <t>INT037</t>
  </si>
  <si>
    <t>INT039</t>
  </si>
  <si>
    <t>INT041</t>
  </si>
  <si>
    <t>INT042</t>
  </si>
  <si>
    <t>INT043</t>
  </si>
  <si>
    <t>INT044</t>
  </si>
  <si>
    <t>INT045</t>
  </si>
  <si>
    <t>INT047</t>
  </si>
  <si>
    <t>INT050</t>
  </si>
  <si>
    <t>AaravSharma</t>
  </si>
  <si>
    <t>IshitaKapoor</t>
  </si>
  <si>
    <t>RohanMehta</t>
  </si>
  <si>
    <t>PriyaRai</t>
  </si>
  <si>
    <t>AmitVerma</t>
  </si>
  <si>
    <t>SanyaMalhotra</t>
  </si>
  <si>
    <t>VikramSingh</t>
  </si>
  <si>
    <t>AnanyaIyer</t>
  </si>
  <si>
    <t>RahulJain</t>
  </si>
  <si>
    <t>KavyaNair</t>
  </si>
  <si>
    <t>ArjunDas</t>
  </si>
  <si>
    <t>SnehaReddy</t>
  </si>
  <si>
    <t>ManishGoel</t>
  </si>
  <si>
    <t>PoojaHegde</t>
  </si>
  <si>
    <t>VarunDhawan</t>
  </si>
  <si>
    <t>DeepikaP.</t>
  </si>
  <si>
    <t>SidM.</t>
  </si>
  <si>
    <t>KiaraA.</t>
  </si>
  <si>
    <t>AyushK.</t>
  </si>
  <si>
    <t>TaraS.</t>
  </si>
  <si>
    <t>RanbirK.</t>
  </si>
  <si>
    <t>AliaB.</t>
  </si>
  <si>
    <t>KartikA.</t>
  </si>
  <si>
    <t>SaraK.</t>
  </si>
  <si>
    <t>VickyK.</t>
  </si>
  <si>
    <t>KatrinaK.</t>
  </si>
  <si>
    <t>HrithikR.</t>
  </si>
  <si>
    <t>KritiS.</t>
  </si>
  <si>
    <t>TigerS.</t>
  </si>
  <si>
    <t>RashmikaM.</t>
  </si>
  <si>
    <t>VijayD.</t>
  </si>
  <si>
    <t>SamanthaR.</t>
  </si>
  <si>
    <t>PrabhasR.</t>
  </si>
  <si>
    <t>NayantharaK.</t>
  </si>
  <si>
    <t>AlluA.</t>
  </si>
  <si>
    <t>TrishaK.</t>
  </si>
  <si>
    <t>RamC.</t>
  </si>
  <si>
    <t>TamannaahB.</t>
  </si>
  <si>
    <t>MaheshB.</t>
  </si>
  <si>
    <t>KeerthyS.</t>
  </si>
  <si>
    <t>YashG.</t>
  </si>
  <si>
    <t>RakulP.</t>
  </si>
  <si>
    <t>NaniK.</t>
  </si>
  <si>
    <t>SaiP.</t>
  </si>
  <si>
    <t>DhanushK.</t>
  </si>
  <si>
    <t>KajalA.</t>
  </si>
  <si>
    <t>SuryaS.</t>
  </si>
  <si>
    <t>ShrutiH.</t>
  </si>
  <si>
    <t>DulquerS.</t>
  </si>
  <si>
    <t>AnushkaS.</t>
  </si>
  <si>
    <t>aarav@example.com</t>
  </si>
  <si>
    <t>amit@example.com</t>
  </si>
  <si>
    <t>rahul@example.com</t>
  </si>
  <si>
    <t>kavya@example.com</t>
  </si>
  <si>
    <t>pooja@example.com</t>
  </si>
  <si>
    <t>deepika@example.com</t>
  </si>
  <si>
    <t>kiara@example.com</t>
  </si>
  <si>
    <t>tara@example.com</t>
  </si>
  <si>
    <t>alia@example.com</t>
  </si>
  <si>
    <t>kartik@example.com</t>
  </si>
  <si>
    <t>ram@example.com</t>
  </si>
  <si>
    <t>keerthy@example.com</t>
  </si>
  <si>
    <t>rakul@example.com</t>
  </si>
  <si>
    <t>sai@example.com</t>
  </si>
  <si>
    <t>shruti@example.com</t>
  </si>
  <si>
    <t>Ui/Ux</t>
  </si>
  <si>
    <t>Total Task</t>
  </si>
  <si>
    <t>Mode</t>
  </si>
  <si>
    <t xml:space="preserve">online </t>
  </si>
  <si>
    <t>offline</t>
  </si>
  <si>
    <t>hybrid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</si>
</sst>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81A1-9FDD-444F-8B75-0BDACD789526}">
  <dimension ref="A1:AA51"/>
  <sheetViews>
    <sheetView tabSelected="1" zoomScale="106" zoomScaleNormal="106" workbookViewId="0">
      <selection activeCell="G2" sqref="G2:G51"/>
    </sheetView>
  </sheetViews>
  <sheetFormatPr defaultRowHeight="15" x14ac:dyDescent="0.25"/>
  <cols>
    <col min="1" max="1" width="10.85546875" customWidth="1"/>
    <col min="2" max="2" width="19.85546875" customWidth="1"/>
    <col min="3" max="3" width="24.7109375" customWidth="1"/>
    <col min="4" max="4" width="14.5703125" customWidth="1"/>
    <col min="5" max="5" width="17.85546875" customWidth="1"/>
    <col min="6" max="7" width="19.140625" customWidth="1"/>
    <col min="8" max="8" width="20.140625" customWidth="1"/>
    <col min="9" max="11" width="9.28515625" bestFit="1" customWidth="1"/>
    <col min="12" max="12" width="10.28515625" customWidth="1"/>
    <col min="13" max="13" width="11.140625" customWidth="1"/>
    <col min="14" max="14" width="19.85546875" customWidth="1"/>
    <col min="15" max="15" width="12.7109375" customWidth="1"/>
    <col min="16" max="16" width="17.7109375" customWidth="1"/>
    <col min="17" max="17" width="15.28515625" customWidth="1"/>
    <col min="18" max="18" width="17.28515625" customWidth="1"/>
    <col min="19" max="19" width="13.7109375" customWidth="1"/>
    <col min="20" max="20" width="16.5703125" customWidth="1"/>
    <col min="21" max="22" width="19.85546875" customWidth="1"/>
    <col min="23" max="23" width="15.7109375" customWidth="1"/>
    <col min="24" max="24" width="18.7109375" customWidth="1"/>
    <col min="25" max="25" width="18" customWidth="1"/>
    <col min="27" max="27" width="27" customWidth="1"/>
    <col min="28" max="28" width="14.42578125" customWidth="1"/>
  </cols>
  <sheetData>
    <row r="1" spans="1:27" s="2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186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185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</row>
    <row r="2" spans="1:27" x14ac:dyDescent="0.25">
      <c r="A2" t="s">
        <v>25</v>
      </c>
      <c r="B2" t="s">
        <v>119</v>
      </c>
      <c r="C2" t="s">
        <v>169</v>
      </c>
      <c r="D2" t="s">
        <v>33</v>
      </c>
      <c r="E2">
        <v>9876543210</v>
      </c>
      <c r="F2" t="s">
        <v>49</v>
      </c>
      <c r="G2" t="s">
        <v>187</v>
      </c>
      <c r="H2" t="s">
        <v>26</v>
      </c>
      <c r="I2">
        <v>31</v>
      </c>
      <c r="J2">
        <v>31</v>
      </c>
      <c r="K2">
        <v>31</v>
      </c>
      <c r="L2" s="1">
        <f t="shared" ref="L2:L33" si="0">((J2 + K2)/2)/I2*100</f>
        <v>100</v>
      </c>
      <c r="M2" s="1">
        <v>4</v>
      </c>
      <c r="N2" t="s">
        <v>27</v>
      </c>
      <c r="O2">
        <v>95</v>
      </c>
      <c r="P2" t="s">
        <v>27</v>
      </c>
      <c r="Q2">
        <v>87</v>
      </c>
      <c r="R2" t="s">
        <v>27</v>
      </c>
      <c r="S2">
        <v>85</v>
      </c>
      <c r="T2" t="s">
        <v>27</v>
      </c>
      <c r="U2">
        <v>94</v>
      </c>
      <c r="V2">
        <f>COUNTIF(N2:P2:R2:T2,"Yes")</f>
        <v>4</v>
      </c>
      <c r="W2">
        <f t="shared" ref="W2:W33" si="1">(V2/M2)*100</f>
        <v>100</v>
      </c>
      <c r="X2" s="1">
        <f t="shared" ref="X2:X33" si="2">(O2+Q2+S2+U2)/M2</f>
        <v>90.25</v>
      </c>
      <c r="Y2" t="str">
        <f t="shared" ref="Y2:Y33" si="3">IF(X2&gt;=90,"Outstanding", IF(X2&gt;=70,"Excellent", IF(X2&gt;=65,"Good", IF(X2&gt;=40,"Average","Improvement"))))</f>
        <v>Outstanding</v>
      </c>
      <c r="Z2">
        <f t="shared" ref="Z2:Z33" si="4">IF(AND(X2&gt;=80,W2&gt;=80,L2&gt;=80),15000,
IF(AND(X2&gt;=50,W2&gt;=50,L2&gt;=50),10000,"No stipend"))</f>
        <v>15000</v>
      </c>
      <c r="AA2" t="str">
        <f t="shared" ref="AA2:AA33" si="5">IF(Z2=15000,"Hiring",IF(Z2=10000,"intern for 6 month",IF(Z2="No stipend","intern for 1 month")))</f>
        <v>Hiring</v>
      </c>
    </row>
    <row r="3" spans="1:27" x14ac:dyDescent="0.25">
      <c r="A3" t="s">
        <v>28</v>
      </c>
      <c r="B3" t="s">
        <v>120</v>
      </c>
      <c r="C3" t="s">
        <v>29</v>
      </c>
      <c r="D3" t="s">
        <v>30</v>
      </c>
      <c r="E3">
        <v>9876543211</v>
      </c>
      <c r="F3" t="s">
        <v>43</v>
      </c>
      <c r="G3" t="s">
        <v>188</v>
      </c>
      <c r="H3" t="s">
        <v>26</v>
      </c>
      <c r="I3">
        <v>31</v>
      </c>
      <c r="J3">
        <v>25</v>
      </c>
      <c r="K3">
        <v>24</v>
      </c>
      <c r="L3" s="1">
        <f t="shared" si="0"/>
        <v>79.032258064516128</v>
      </c>
      <c r="M3" s="1">
        <v>4</v>
      </c>
      <c r="N3" t="s">
        <v>27</v>
      </c>
      <c r="O3">
        <v>80</v>
      </c>
      <c r="P3" t="s">
        <v>27</v>
      </c>
      <c r="Q3">
        <v>90</v>
      </c>
      <c r="R3" t="s">
        <v>27</v>
      </c>
      <c r="S3">
        <v>85</v>
      </c>
      <c r="T3" t="s">
        <v>27</v>
      </c>
      <c r="U3">
        <v>82</v>
      </c>
      <c r="V3">
        <f>COUNTIF(N3:P3:R3:T3,"Yes")</f>
        <v>4</v>
      </c>
      <c r="W3">
        <f t="shared" si="1"/>
        <v>100</v>
      </c>
      <c r="X3" s="1">
        <f t="shared" si="2"/>
        <v>84.25</v>
      </c>
      <c r="Y3" t="str">
        <f t="shared" si="3"/>
        <v>Excellent</v>
      </c>
      <c r="Z3">
        <f t="shared" si="4"/>
        <v>10000</v>
      </c>
      <c r="AA3" t="str">
        <f t="shared" si="5"/>
        <v>intern for 6 month</v>
      </c>
    </row>
    <row r="4" spans="1:27" x14ac:dyDescent="0.25">
      <c r="A4" t="s">
        <v>31</v>
      </c>
      <c r="B4" t="s">
        <v>121</v>
      </c>
      <c r="C4" t="s">
        <v>32</v>
      </c>
      <c r="D4" t="s">
        <v>33</v>
      </c>
      <c r="E4">
        <v>9876543212</v>
      </c>
      <c r="F4" t="s">
        <v>184</v>
      </c>
      <c r="G4" t="s">
        <v>189</v>
      </c>
      <c r="H4" t="s">
        <v>26</v>
      </c>
      <c r="I4">
        <v>31</v>
      </c>
      <c r="J4">
        <v>10</v>
      </c>
      <c r="K4">
        <v>12</v>
      </c>
      <c r="L4" s="1">
        <f t="shared" si="0"/>
        <v>35.483870967741936</v>
      </c>
      <c r="M4" s="1">
        <v>4</v>
      </c>
      <c r="N4" t="s">
        <v>34</v>
      </c>
      <c r="O4">
        <v>0</v>
      </c>
      <c r="P4" t="s">
        <v>34</v>
      </c>
      <c r="Q4">
        <v>0</v>
      </c>
      <c r="R4" t="s">
        <v>27</v>
      </c>
      <c r="S4">
        <v>40</v>
      </c>
      <c r="T4" t="s">
        <v>34</v>
      </c>
      <c r="U4">
        <v>0</v>
      </c>
      <c r="V4">
        <f>COUNTIF(N4:P4:R4:T4,"Yes")</f>
        <v>1</v>
      </c>
      <c r="W4">
        <f t="shared" si="1"/>
        <v>25</v>
      </c>
      <c r="X4" s="1">
        <f t="shared" si="2"/>
        <v>10</v>
      </c>
      <c r="Y4" t="str">
        <f t="shared" si="3"/>
        <v>Improvement</v>
      </c>
      <c r="Z4" t="str">
        <f t="shared" si="4"/>
        <v>No stipend</v>
      </c>
      <c r="AA4" t="str">
        <f t="shared" si="5"/>
        <v>intern for 1 month</v>
      </c>
    </row>
    <row r="5" spans="1:27" x14ac:dyDescent="0.25">
      <c r="A5" t="s">
        <v>101</v>
      </c>
      <c r="B5" t="s">
        <v>122</v>
      </c>
      <c r="C5" t="s">
        <v>35</v>
      </c>
      <c r="D5" t="s">
        <v>30</v>
      </c>
      <c r="E5">
        <v>9876543213</v>
      </c>
      <c r="F5" t="s">
        <v>36</v>
      </c>
      <c r="G5" t="s">
        <v>187</v>
      </c>
      <c r="H5" t="s">
        <v>26</v>
      </c>
      <c r="I5">
        <v>31</v>
      </c>
      <c r="J5">
        <v>31</v>
      </c>
      <c r="K5">
        <v>30</v>
      </c>
      <c r="L5" s="1">
        <f t="shared" si="0"/>
        <v>98.387096774193552</v>
      </c>
      <c r="M5" s="1">
        <v>4</v>
      </c>
      <c r="N5" t="s">
        <v>27</v>
      </c>
      <c r="O5">
        <v>92</v>
      </c>
      <c r="P5" t="s">
        <v>27</v>
      </c>
      <c r="Q5">
        <v>85</v>
      </c>
      <c r="R5" t="s">
        <v>27</v>
      </c>
      <c r="S5">
        <v>90</v>
      </c>
      <c r="T5" t="s">
        <v>27</v>
      </c>
      <c r="U5">
        <v>95</v>
      </c>
      <c r="V5">
        <f>COUNTIF(N5:P5:R5:T5,"Yes")</f>
        <v>4</v>
      </c>
      <c r="W5">
        <f t="shared" si="1"/>
        <v>100</v>
      </c>
      <c r="X5" s="1">
        <f t="shared" si="2"/>
        <v>90.5</v>
      </c>
      <c r="Y5" t="str">
        <f t="shared" si="3"/>
        <v>Outstanding</v>
      </c>
      <c r="Z5">
        <f t="shared" si="4"/>
        <v>15000</v>
      </c>
      <c r="AA5" t="str">
        <f t="shared" si="5"/>
        <v>Hiring</v>
      </c>
    </row>
    <row r="6" spans="1:27" x14ac:dyDescent="0.25">
      <c r="A6" t="s">
        <v>37</v>
      </c>
      <c r="B6" t="s">
        <v>123</v>
      </c>
      <c r="C6" t="s">
        <v>170</v>
      </c>
      <c r="D6" t="s">
        <v>33</v>
      </c>
      <c r="E6">
        <v>9876543214</v>
      </c>
      <c r="F6" t="s">
        <v>38</v>
      </c>
      <c r="G6" t="s">
        <v>188</v>
      </c>
      <c r="H6" t="s">
        <v>26</v>
      </c>
      <c r="I6">
        <v>31</v>
      </c>
      <c r="J6">
        <v>22</v>
      </c>
      <c r="K6">
        <v>20</v>
      </c>
      <c r="L6" s="1">
        <f t="shared" si="0"/>
        <v>67.741935483870961</v>
      </c>
      <c r="M6" s="1">
        <v>4</v>
      </c>
      <c r="N6" t="s">
        <v>27</v>
      </c>
      <c r="O6">
        <v>70</v>
      </c>
      <c r="P6" t="s">
        <v>27</v>
      </c>
      <c r="Q6">
        <v>82</v>
      </c>
      <c r="R6" t="s">
        <v>34</v>
      </c>
      <c r="S6">
        <v>0</v>
      </c>
      <c r="T6" t="s">
        <v>27</v>
      </c>
      <c r="U6">
        <v>65</v>
      </c>
      <c r="V6">
        <f>COUNTIF(N6:P6:R6:T6,"Yes")</f>
        <v>3</v>
      </c>
      <c r="W6">
        <f t="shared" si="1"/>
        <v>75</v>
      </c>
      <c r="X6" s="1">
        <f t="shared" si="2"/>
        <v>54.25</v>
      </c>
      <c r="Y6" t="str">
        <f t="shared" si="3"/>
        <v>Average</v>
      </c>
      <c r="Z6">
        <f t="shared" si="4"/>
        <v>10000</v>
      </c>
      <c r="AA6" t="str">
        <f t="shared" si="5"/>
        <v>intern for 6 month</v>
      </c>
    </row>
    <row r="7" spans="1:27" x14ac:dyDescent="0.25">
      <c r="A7" t="s">
        <v>39</v>
      </c>
      <c r="B7" t="s">
        <v>124</v>
      </c>
      <c r="C7" t="s">
        <v>40</v>
      </c>
      <c r="D7" t="s">
        <v>30</v>
      </c>
      <c r="E7">
        <v>9876543215</v>
      </c>
      <c r="F7" t="s">
        <v>49</v>
      </c>
      <c r="G7" t="s">
        <v>189</v>
      </c>
      <c r="H7" t="s">
        <v>26</v>
      </c>
      <c r="I7">
        <v>31</v>
      </c>
      <c r="J7">
        <v>31</v>
      </c>
      <c r="K7">
        <v>31</v>
      </c>
      <c r="L7" s="1">
        <f t="shared" si="0"/>
        <v>100</v>
      </c>
      <c r="M7" s="1">
        <v>4</v>
      </c>
      <c r="N7" t="s">
        <v>27</v>
      </c>
      <c r="O7">
        <v>98</v>
      </c>
      <c r="P7" t="s">
        <v>27</v>
      </c>
      <c r="Q7">
        <v>83</v>
      </c>
      <c r="R7" t="s">
        <v>27</v>
      </c>
      <c r="S7">
        <v>97</v>
      </c>
      <c r="T7" t="s">
        <v>27</v>
      </c>
      <c r="U7">
        <v>99</v>
      </c>
      <c r="V7">
        <f>COUNTIF(N7:P7:R7:T7,"Yes")</f>
        <v>4</v>
      </c>
      <c r="W7">
        <f t="shared" si="1"/>
        <v>100</v>
      </c>
      <c r="X7" s="1">
        <f t="shared" si="2"/>
        <v>94.25</v>
      </c>
      <c r="Y7" t="str">
        <f t="shared" si="3"/>
        <v>Outstanding</v>
      </c>
      <c r="Z7">
        <f t="shared" si="4"/>
        <v>15000</v>
      </c>
      <c r="AA7" t="str">
        <f t="shared" si="5"/>
        <v>Hiring</v>
      </c>
    </row>
    <row r="8" spans="1:27" x14ac:dyDescent="0.25">
      <c r="A8" t="s">
        <v>41</v>
      </c>
      <c r="B8" t="s">
        <v>125</v>
      </c>
      <c r="C8" t="s">
        <v>42</v>
      </c>
      <c r="D8" t="s">
        <v>33</v>
      </c>
      <c r="E8">
        <v>9876543216</v>
      </c>
      <c r="F8" t="s">
        <v>43</v>
      </c>
      <c r="G8" t="s">
        <v>187</v>
      </c>
      <c r="H8" t="s">
        <v>26</v>
      </c>
      <c r="I8">
        <v>31</v>
      </c>
      <c r="J8">
        <v>15</v>
      </c>
      <c r="K8">
        <v>14</v>
      </c>
      <c r="L8" s="1">
        <f t="shared" si="0"/>
        <v>46.774193548387096</v>
      </c>
      <c r="M8" s="1">
        <v>4</v>
      </c>
      <c r="N8" t="s">
        <v>34</v>
      </c>
      <c r="O8">
        <v>0</v>
      </c>
      <c r="P8" t="s">
        <v>27</v>
      </c>
      <c r="Q8">
        <v>86</v>
      </c>
      <c r="R8" t="s">
        <v>34</v>
      </c>
      <c r="S8">
        <v>0</v>
      </c>
      <c r="T8" t="s">
        <v>34</v>
      </c>
      <c r="U8">
        <v>0</v>
      </c>
      <c r="V8">
        <f>COUNTIF(N8:P8:R8:T8,"Yes")</f>
        <v>1</v>
      </c>
      <c r="W8">
        <f t="shared" si="1"/>
        <v>25</v>
      </c>
      <c r="X8" s="1">
        <f t="shared" si="2"/>
        <v>21.5</v>
      </c>
      <c r="Y8" t="str">
        <f t="shared" si="3"/>
        <v>Improvement</v>
      </c>
      <c r="Z8" t="str">
        <f t="shared" si="4"/>
        <v>No stipend</v>
      </c>
      <c r="AA8" t="str">
        <f t="shared" si="5"/>
        <v>intern for 1 month</v>
      </c>
    </row>
    <row r="9" spans="1:27" x14ac:dyDescent="0.25">
      <c r="A9" t="s">
        <v>44</v>
      </c>
      <c r="B9" t="s">
        <v>126</v>
      </c>
      <c r="C9" t="s">
        <v>45</v>
      </c>
      <c r="D9" t="s">
        <v>30</v>
      </c>
      <c r="E9">
        <v>9876543217</v>
      </c>
      <c r="F9" t="s">
        <v>184</v>
      </c>
      <c r="G9" t="s">
        <v>188</v>
      </c>
      <c r="H9" t="s">
        <v>26</v>
      </c>
      <c r="I9">
        <v>31</v>
      </c>
      <c r="J9">
        <v>28</v>
      </c>
      <c r="K9">
        <v>29</v>
      </c>
      <c r="L9" s="1">
        <f t="shared" si="0"/>
        <v>91.935483870967744</v>
      </c>
      <c r="M9" s="1">
        <v>4</v>
      </c>
      <c r="N9" t="s">
        <v>27</v>
      </c>
      <c r="O9">
        <v>88</v>
      </c>
      <c r="P9" t="s">
        <v>27</v>
      </c>
      <c r="Q9">
        <v>81</v>
      </c>
      <c r="R9" t="s">
        <v>27</v>
      </c>
      <c r="S9">
        <v>85</v>
      </c>
      <c r="T9" t="s">
        <v>27</v>
      </c>
      <c r="U9">
        <v>90</v>
      </c>
      <c r="V9">
        <f>COUNTIF(N9:P9:R9:T9,"Yes")</f>
        <v>4</v>
      </c>
      <c r="W9">
        <f t="shared" si="1"/>
        <v>100</v>
      </c>
      <c r="X9" s="1">
        <f t="shared" si="2"/>
        <v>86</v>
      </c>
      <c r="Y9" t="str">
        <f t="shared" si="3"/>
        <v>Excellent</v>
      </c>
      <c r="Z9">
        <f t="shared" si="4"/>
        <v>15000</v>
      </c>
      <c r="AA9" t="str">
        <f t="shared" si="5"/>
        <v>Hiring</v>
      </c>
    </row>
    <row r="10" spans="1:27" x14ac:dyDescent="0.25">
      <c r="A10" t="s">
        <v>46</v>
      </c>
      <c r="B10" t="s">
        <v>127</v>
      </c>
      <c r="C10" t="s">
        <v>171</v>
      </c>
      <c r="D10" t="s">
        <v>33</v>
      </c>
      <c r="E10">
        <v>9876543218</v>
      </c>
      <c r="F10" t="s">
        <v>36</v>
      </c>
      <c r="G10" t="s">
        <v>189</v>
      </c>
      <c r="H10" t="s">
        <v>26</v>
      </c>
      <c r="I10">
        <v>31</v>
      </c>
      <c r="J10">
        <v>31</v>
      </c>
      <c r="K10">
        <v>31</v>
      </c>
      <c r="L10" s="1">
        <f t="shared" si="0"/>
        <v>100</v>
      </c>
      <c r="M10" s="1">
        <v>4</v>
      </c>
      <c r="N10" t="s">
        <v>27</v>
      </c>
      <c r="O10">
        <v>94</v>
      </c>
      <c r="P10" t="s">
        <v>27</v>
      </c>
      <c r="Q10">
        <v>82</v>
      </c>
      <c r="R10" t="s">
        <v>27</v>
      </c>
      <c r="S10">
        <v>96</v>
      </c>
      <c r="T10" t="s">
        <v>27</v>
      </c>
      <c r="U10">
        <v>92</v>
      </c>
      <c r="V10">
        <f>COUNTIF(N10:P10:R10:T10,"Yes")</f>
        <v>4</v>
      </c>
      <c r="W10">
        <f t="shared" si="1"/>
        <v>100</v>
      </c>
      <c r="X10" s="1">
        <f t="shared" si="2"/>
        <v>91</v>
      </c>
      <c r="Y10" t="str">
        <f t="shared" si="3"/>
        <v>Outstanding</v>
      </c>
      <c r="Z10">
        <f t="shared" si="4"/>
        <v>15000</v>
      </c>
      <c r="AA10" t="str">
        <f t="shared" si="5"/>
        <v>Hiring</v>
      </c>
    </row>
    <row r="11" spans="1:27" x14ac:dyDescent="0.25">
      <c r="A11" t="s">
        <v>47</v>
      </c>
      <c r="B11" t="s">
        <v>128</v>
      </c>
      <c r="C11" t="s">
        <v>172</v>
      </c>
      <c r="D11" t="s">
        <v>30</v>
      </c>
      <c r="E11">
        <v>9876543219</v>
      </c>
      <c r="F11" t="s">
        <v>38</v>
      </c>
      <c r="G11" t="s">
        <v>187</v>
      </c>
      <c r="H11" t="s">
        <v>26</v>
      </c>
      <c r="I11">
        <v>31</v>
      </c>
      <c r="J11">
        <v>24</v>
      </c>
      <c r="K11">
        <v>24</v>
      </c>
      <c r="L11" s="1">
        <f t="shared" si="0"/>
        <v>77.41935483870968</v>
      </c>
      <c r="M11" s="1">
        <v>4</v>
      </c>
      <c r="N11" t="s">
        <v>27</v>
      </c>
      <c r="O11">
        <v>75</v>
      </c>
      <c r="P11" t="s">
        <v>27</v>
      </c>
      <c r="Q11">
        <v>85</v>
      </c>
      <c r="R11" t="s">
        <v>27</v>
      </c>
      <c r="S11">
        <v>70</v>
      </c>
      <c r="T11" t="s">
        <v>27</v>
      </c>
      <c r="U11">
        <v>78</v>
      </c>
      <c r="V11">
        <f>COUNTIF(N11:P11:R11:T11,"Yes")</f>
        <v>4</v>
      </c>
      <c r="W11">
        <f t="shared" si="1"/>
        <v>100</v>
      </c>
      <c r="X11" s="1">
        <f t="shared" si="2"/>
        <v>77</v>
      </c>
      <c r="Y11" t="str">
        <f t="shared" si="3"/>
        <v>Excellent</v>
      </c>
      <c r="Z11">
        <f t="shared" si="4"/>
        <v>10000</v>
      </c>
      <c r="AA11" t="str">
        <f t="shared" si="5"/>
        <v>intern for 6 month</v>
      </c>
    </row>
    <row r="12" spans="1:27" x14ac:dyDescent="0.25">
      <c r="A12" t="s">
        <v>102</v>
      </c>
      <c r="B12" t="s">
        <v>129</v>
      </c>
      <c r="C12" t="s">
        <v>48</v>
      </c>
      <c r="D12" t="s">
        <v>33</v>
      </c>
      <c r="E12">
        <v>9876543220</v>
      </c>
      <c r="F12" t="s">
        <v>49</v>
      </c>
      <c r="G12" t="s">
        <v>188</v>
      </c>
      <c r="H12" t="s">
        <v>26</v>
      </c>
      <c r="I12">
        <v>31</v>
      </c>
      <c r="J12">
        <v>30</v>
      </c>
      <c r="K12">
        <v>30</v>
      </c>
      <c r="L12" s="1">
        <f t="shared" si="0"/>
        <v>96.774193548387103</v>
      </c>
      <c r="M12" s="1">
        <v>4</v>
      </c>
      <c r="N12" t="s">
        <v>27</v>
      </c>
      <c r="O12">
        <v>91</v>
      </c>
      <c r="P12" t="s">
        <v>27</v>
      </c>
      <c r="Q12">
        <v>87</v>
      </c>
      <c r="R12" t="s">
        <v>27</v>
      </c>
      <c r="S12">
        <v>93</v>
      </c>
      <c r="T12" t="s">
        <v>27</v>
      </c>
      <c r="U12">
        <v>92</v>
      </c>
      <c r="V12">
        <f>COUNTIF(N12:P12:R12:T12,"Yes")</f>
        <v>4</v>
      </c>
      <c r="W12">
        <f t="shared" si="1"/>
        <v>100</v>
      </c>
      <c r="X12" s="1">
        <f t="shared" si="2"/>
        <v>90.75</v>
      </c>
      <c r="Y12" t="str">
        <f t="shared" si="3"/>
        <v>Outstanding</v>
      </c>
      <c r="Z12">
        <f t="shared" si="4"/>
        <v>15000</v>
      </c>
      <c r="AA12" t="str">
        <f t="shared" si="5"/>
        <v>Hiring</v>
      </c>
    </row>
    <row r="13" spans="1:27" x14ac:dyDescent="0.25">
      <c r="A13" t="s">
        <v>50</v>
      </c>
      <c r="B13" t="s">
        <v>130</v>
      </c>
      <c r="C13" t="s">
        <v>51</v>
      </c>
      <c r="D13" t="s">
        <v>30</v>
      </c>
      <c r="E13">
        <v>9876543221</v>
      </c>
      <c r="F13" t="s">
        <v>43</v>
      </c>
      <c r="G13" t="s">
        <v>189</v>
      </c>
      <c r="H13" t="s">
        <v>26</v>
      </c>
      <c r="I13">
        <v>31</v>
      </c>
      <c r="J13">
        <v>12</v>
      </c>
      <c r="K13">
        <v>10</v>
      </c>
      <c r="L13" s="1">
        <f t="shared" si="0"/>
        <v>35.483870967741936</v>
      </c>
      <c r="M13" s="1">
        <v>4</v>
      </c>
      <c r="N13" t="s">
        <v>34</v>
      </c>
      <c r="O13">
        <v>0</v>
      </c>
      <c r="P13" t="s">
        <v>34</v>
      </c>
      <c r="Q13">
        <v>0</v>
      </c>
      <c r="R13" t="s">
        <v>34</v>
      </c>
      <c r="S13">
        <v>0</v>
      </c>
      <c r="T13" t="s">
        <v>34</v>
      </c>
      <c r="U13">
        <v>0</v>
      </c>
      <c r="V13">
        <f>COUNTIF(N13:P13:R13:T13,"Yes")</f>
        <v>0</v>
      </c>
      <c r="W13">
        <f t="shared" si="1"/>
        <v>0</v>
      </c>
      <c r="X13" s="1">
        <f t="shared" si="2"/>
        <v>0</v>
      </c>
      <c r="Y13" t="str">
        <f t="shared" si="3"/>
        <v>Improvement</v>
      </c>
      <c r="Z13" t="str">
        <f t="shared" si="4"/>
        <v>No stipend</v>
      </c>
      <c r="AA13" t="str">
        <f t="shared" si="5"/>
        <v>intern for 1 month</v>
      </c>
    </row>
    <row r="14" spans="1:27" x14ac:dyDescent="0.25">
      <c r="A14" t="s">
        <v>52</v>
      </c>
      <c r="B14" t="s">
        <v>131</v>
      </c>
      <c r="C14" t="s">
        <v>53</v>
      </c>
      <c r="D14" t="s">
        <v>33</v>
      </c>
      <c r="E14">
        <v>9876543222</v>
      </c>
      <c r="F14" t="s">
        <v>184</v>
      </c>
      <c r="G14" t="s">
        <v>187</v>
      </c>
      <c r="H14" t="s">
        <v>26</v>
      </c>
      <c r="I14">
        <v>31</v>
      </c>
      <c r="J14">
        <v>26</v>
      </c>
      <c r="K14">
        <v>27</v>
      </c>
      <c r="L14" s="1">
        <f t="shared" si="0"/>
        <v>85.483870967741936</v>
      </c>
      <c r="M14" s="1">
        <v>4</v>
      </c>
      <c r="N14" t="s">
        <v>27</v>
      </c>
      <c r="O14">
        <v>82</v>
      </c>
      <c r="P14" t="s">
        <v>27</v>
      </c>
      <c r="Q14">
        <v>86</v>
      </c>
      <c r="R14" t="s">
        <v>27</v>
      </c>
      <c r="S14">
        <v>80</v>
      </c>
      <c r="T14" t="s">
        <v>27</v>
      </c>
      <c r="U14">
        <v>84</v>
      </c>
      <c r="V14">
        <f>COUNTIF(N14:P14:R14:T14,"Yes")</f>
        <v>4</v>
      </c>
      <c r="W14">
        <f t="shared" si="1"/>
        <v>100</v>
      </c>
      <c r="X14" s="1">
        <f t="shared" si="2"/>
        <v>83</v>
      </c>
      <c r="Y14" t="str">
        <f t="shared" si="3"/>
        <v>Excellent</v>
      </c>
      <c r="Z14">
        <f t="shared" si="4"/>
        <v>15000</v>
      </c>
      <c r="AA14" t="str">
        <f t="shared" si="5"/>
        <v>Hiring</v>
      </c>
    </row>
    <row r="15" spans="1:27" x14ac:dyDescent="0.25">
      <c r="A15" t="s">
        <v>103</v>
      </c>
      <c r="B15" t="s">
        <v>132</v>
      </c>
      <c r="C15" t="s">
        <v>173</v>
      </c>
      <c r="D15" t="s">
        <v>30</v>
      </c>
      <c r="E15">
        <v>9876543223</v>
      </c>
      <c r="F15" t="s">
        <v>36</v>
      </c>
      <c r="G15" t="s">
        <v>188</v>
      </c>
      <c r="H15" t="s">
        <v>26</v>
      </c>
      <c r="I15">
        <v>31</v>
      </c>
      <c r="J15">
        <v>31</v>
      </c>
      <c r="K15">
        <v>31</v>
      </c>
      <c r="L15" s="1">
        <f t="shared" si="0"/>
        <v>100</v>
      </c>
      <c r="M15" s="1">
        <v>4</v>
      </c>
      <c r="N15" t="s">
        <v>27</v>
      </c>
      <c r="O15">
        <v>96</v>
      </c>
      <c r="P15" t="s">
        <v>27</v>
      </c>
      <c r="Q15">
        <v>86</v>
      </c>
      <c r="R15" t="s">
        <v>27</v>
      </c>
      <c r="S15">
        <v>95</v>
      </c>
      <c r="T15" t="s">
        <v>27</v>
      </c>
      <c r="U15">
        <v>97</v>
      </c>
      <c r="V15">
        <f>COUNTIF(N15:P15:R15:T15,"Yes")</f>
        <v>4</v>
      </c>
      <c r="W15">
        <f t="shared" si="1"/>
        <v>100</v>
      </c>
      <c r="X15" s="1">
        <f t="shared" si="2"/>
        <v>93.5</v>
      </c>
      <c r="Y15" t="str">
        <f t="shared" si="3"/>
        <v>Outstanding</v>
      </c>
      <c r="Z15">
        <f t="shared" si="4"/>
        <v>15000</v>
      </c>
      <c r="AA15" t="str">
        <f t="shared" si="5"/>
        <v>Hiring</v>
      </c>
    </row>
    <row r="16" spans="1:27" x14ac:dyDescent="0.25">
      <c r="A16" t="s">
        <v>54</v>
      </c>
      <c r="B16" t="s">
        <v>133</v>
      </c>
      <c r="C16" t="s">
        <v>55</v>
      </c>
      <c r="D16" t="s">
        <v>33</v>
      </c>
      <c r="E16">
        <v>9876543224</v>
      </c>
      <c r="F16" t="s">
        <v>38</v>
      </c>
      <c r="G16" t="s">
        <v>187</v>
      </c>
      <c r="H16" t="s">
        <v>26</v>
      </c>
      <c r="I16">
        <v>31</v>
      </c>
      <c r="J16">
        <v>20</v>
      </c>
      <c r="K16">
        <v>18</v>
      </c>
      <c r="L16" s="1">
        <f t="shared" si="0"/>
        <v>61.29032258064516</v>
      </c>
      <c r="M16" s="1">
        <v>4</v>
      </c>
      <c r="N16" t="s">
        <v>27</v>
      </c>
      <c r="O16">
        <v>65</v>
      </c>
      <c r="P16" t="s">
        <v>34</v>
      </c>
      <c r="Q16">
        <v>90</v>
      </c>
      <c r="R16" t="s">
        <v>27</v>
      </c>
      <c r="S16">
        <v>60</v>
      </c>
      <c r="T16" t="s">
        <v>27</v>
      </c>
      <c r="U16">
        <v>55</v>
      </c>
      <c r="V16">
        <f>COUNTIF(N16:P16:R16:T16,"Yes")</f>
        <v>3</v>
      </c>
      <c r="W16">
        <f t="shared" si="1"/>
        <v>75</v>
      </c>
      <c r="X16" s="1">
        <f t="shared" si="2"/>
        <v>67.5</v>
      </c>
      <c r="Y16" t="str">
        <f t="shared" si="3"/>
        <v>Good</v>
      </c>
      <c r="Z16">
        <f t="shared" si="4"/>
        <v>10000</v>
      </c>
      <c r="AA16" t="str">
        <f t="shared" si="5"/>
        <v>intern for 6 month</v>
      </c>
    </row>
    <row r="17" spans="1:27" x14ac:dyDescent="0.25">
      <c r="A17" t="s">
        <v>56</v>
      </c>
      <c r="B17" t="s">
        <v>134</v>
      </c>
      <c r="C17" t="s">
        <v>174</v>
      </c>
      <c r="D17" t="s">
        <v>30</v>
      </c>
      <c r="E17">
        <v>9876543225</v>
      </c>
      <c r="F17" t="s">
        <v>49</v>
      </c>
      <c r="G17" t="s">
        <v>188</v>
      </c>
      <c r="H17" t="s">
        <v>26</v>
      </c>
      <c r="I17">
        <v>31</v>
      </c>
      <c r="J17">
        <v>31</v>
      </c>
      <c r="K17">
        <v>31</v>
      </c>
      <c r="L17" s="1">
        <f t="shared" si="0"/>
        <v>100</v>
      </c>
      <c r="M17" s="1">
        <v>4</v>
      </c>
      <c r="N17" t="s">
        <v>27</v>
      </c>
      <c r="O17">
        <v>99</v>
      </c>
      <c r="P17" t="s">
        <v>27</v>
      </c>
      <c r="Q17">
        <v>95</v>
      </c>
      <c r="R17" t="s">
        <v>27</v>
      </c>
      <c r="S17">
        <v>98</v>
      </c>
      <c r="T17" t="s">
        <v>27</v>
      </c>
      <c r="U17">
        <v>100</v>
      </c>
      <c r="V17">
        <f>COUNTIF(N17:P17:R17:T17,"Yes")</f>
        <v>4</v>
      </c>
      <c r="W17">
        <f t="shared" si="1"/>
        <v>100</v>
      </c>
      <c r="X17" s="1">
        <f t="shared" si="2"/>
        <v>98</v>
      </c>
      <c r="Y17" t="str">
        <f t="shared" si="3"/>
        <v>Outstanding</v>
      </c>
      <c r="Z17">
        <f t="shared" si="4"/>
        <v>15000</v>
      </c>
      <c r="AA17" t="str">
        <f t="shared" si="5"/>
        <v>Hiring</v>
      </c>
    </row>
    <row r="18" spans="1:27" x14ac:dyDescent="0.25">
      <c r="A18" t="s">
        <v>57</v>
      </c>
      <c r="B18" t="s">
        <v>135</v>
      </c>
      <c r="C18" t="s">
        <v>58</v>
      </c>
      <c r="D18" t="s">
        <v>33</v>
      </c>
      <c r="E18">
        <v>9876543226</v>
      </c>
      <c r="F18" t="s">
        <v>43</v>
      </c>
      <c r="G18" t="s">
        <v>189</v>
      </c>
      <c r="H18" t="s">
        <v>26</v>
      </c>
      <c r="I18">
        <v>31</v>
      </c>
      <c r="J18">
        <v>28</v>
      </c>
      <c r="K18">
        <v>28</v>
      </c>
      <c r="L18" s="1">
        <f t="shared" si="0"/>
        <v>90.322580645161281</v>
      </c>
      <c r="M18" s="1">
        <v>4</v>
      </c>
      <c r="N18" t="s">
        <v>27</v>
      </c>
      <c r="O18">
        <v>87</v>
      </c>
      <c r="P18" t="s">
        <v>27</v>
      </c>
      <c r="Q18">
        <v>82</v>
      </c>
      <c r="R18" t="s">
        <v>27</v>
      </c>
      <c r="S18">
        <v>89</v>
      </c>
      <c r="T18" t="s">
        <v>27</v>
      </c>
      <c r="U18">
        <v>86</v>
      </c>
      <c r="V18">
        <f>COUNTIF(N18:P18:R18:T18,"Yes")</f>
        <v>4</v>
      </c>
      <c r="W18">
        <f t="shared" si="1"/>
        <v>100</v>
      </c>
      <c r="X18" s="1">
        <f t="shared" si="2"/>
        <v>86</v>
      </c>
      <c r="Y18" t="str">
        <f t="shared" si="3"/>
        <v>Excellent</v>
      </c>
      <c r="Z18">
        <f t="shared" si="4"/>
        <v>15000</v>
      </c>
      <c r="AA18" t="str">
        <f t="shared" si="5"/>
        <v>Hiring</v>
      </c>
    </row>
    <row r="19" spans="1:27" x14ac:dyDescent="0.25">
      <c r="A19" t="s">
        <v>59</v>
      </c>
      <c r="B19" t="s">
        <v>136</v>
      </c>
      <c r="C19" t="s">
        <v>175</v>
      </c>
      <c r="D19" t="s">
        <v>30</v>
      </c>
      <c r="E19">
        <v>9876543227</v>
      </c>
      <c r="F19" t="s">
        <v>184</v>
      </c>
      <c r="G19" t="s">
        <v>187</v>
      </c>
      <c r="H19" t="s">
        <v>26</v>
      </c>
      <c r="I19">
        <v>31</v>
      </c>
      <c r="J19">
        <v>14</v>
      </c>
      <c r="K19">
        <v>12</v>
      </c>
      <c r="L19" s="1">
        <f t="shared" si="0"/>
        <v>41.935483870967744</v>
      </c>
      <c r="M19" s="1">
        <v>4</v>
      </c>
      <c r="N19" t="s">
        <v>34</v>
      </c>
      <c r="O19">
        <v>0</v>
      </c>
      <c r="P19" t="s">
        <v>34</v>
      </c>
      <c r="Q19">
        <v>75</v>
      </c>
      <c r="R19" t="s">
        <v>27</v>
      </c>
      <c r="S19">
        <v>50</v>
      </c>
      <c r="T19" t="s">
        <v>34</v>
      </c>
      <c r="U19">
        <v>0</v>
      </c>
      <c r="V19">
        <f>COUNTIF(N19:P19:R19:T19,"Yes")</f>
        <v>1</v>
      </c>
      <c r="W19">
        <f t="shared" si="1"/>
        <v>25</v>
      </c>
      <c r="X19" s="1">
        <f t="shared" si="2"/>
        <v>31.25</v>
      </c>
      <c r="Y19" t="str">
        <f t="shared" si="3"/>
        <v>Improvement</v>
      </c>
      <c r="Z19" t="str">
        <f t="shared" si="4"/>
        <v>No stipend</v>
      </c>
      <c r="AA19" t="str">
        <f t="shared" si="5"/>
        <v>intern for 1 month</v>
      </c>
    </row>
    <row r="20" spans="1:27" x14ac:dyDescent="0.25">
      <c r="A20" t="s">
        <v>60</v>
      </c>
      <c r="B20" t="s">
        <v>137</v>
      </c>
      <c r="C20" t="s">
        <v>61</v>
      </c>
      <c r="D20" t="s">
        <v>33</v>
      </c>
      <c r="E20">
        <v>9876543228</v>
      </c>
      <c r="F20" t="s">
        <v>36</v>
      </c>
      <c r="G20" t="s">
        <v>188</v>
      </c>
      <c r="H20" t="s">
        <v>26</v>
      </c>
      <c r="I20">
        <v>31</v>
      </c>
      <c r="J20">
        <v>31</v>
      </c>
      <c r="K20">
        <v>30</v>
      </c>
      <c r="L20" s="1">
        <f t="shared" si="0"/>
        <v>98.387096774193552</v>
      </c>
      <c r="M20" s="1">
        <v>4</v>
      </c>
      <c r="N20" t="s">
        <v>27</v>
      </c>
      <c r="O20">
        <v>93</v>
      </c>
      <c r="P20" t="s">
        <v>27</v>
      </c>
      <c r="Q20">
        <v>65</v>
      </c>
      <c r="R20" t="s">
        <v>27</v>
      </c>
      <c r="S20">
        <v>91</v>
      </c>
      <c r="T20" t="s">
        <v>27</v>
      </c>
      <c r="U20">
        <v>94</v>
      </c>
      <c r="V20">
        <f>COUNTIF(N20:P20:R20:T20,"Yes")</f>
        <v>4</v>
      </c>
      <c r="W20">
        <f t="shared" si="1"/>
        <v>100</v>
      </c>
      <c r="X20" s="1">
        <f t="shared" si="2"/>
        <v>85.75</v>
      </c>
      <c r="Y20" t="str">
        <f t="shared" si="3"/>
        <v>Excellent</v>
      </c>
      <c r="Z20">
        <f t="shared" si="4"/>
        <v>15000</v>
      </c>
      <c r="AA20" t="str">
        <f t="shared" si="5"/>
        <v>Hiring</v>
      </c>
    </row>
    <row r="21" spans="1:27" x14ac:dyDescent="0.25">
      <c r="A21" t="s">
        <v>104</v>
      </c>
      <c r="B21" t="s">
        <v>138</v>
      </c>
      <c r="C21" t="s">
        <v>176</v>
      </c>
      <c r="D21" t="s">
        <v>30</v>
      </c>
      <c r="E21">
        <v>9876543229</v>
      </c>
      <c r="F21" t="s">
        <v>38</v>
      </c>
      <c r="G21" t="s">
        <v>189</v>
      </c>
      <c r="H21" t="s">
        <v>26</v>
      </c>
      <c r="I21">
        <v>31</v>
      </c>
      <c r="J21">
        <v>25</v>
      </c>
      <c r="K21">
        <v>25</v>
      </c>
      <c r="L21" s="1">
        <f t="shared" si="0"/>
        <v>80.645161290322577</v>
      </c>
      <c r="M21" s="1">
        <v>4</v>
      </c>
      <c r="N21" t="s">
        <v>27</v>
      </c>
      <c r="O21">
        <v>78</v>
      </c>
      <c r="P21" t="s">
        <v>27</v>
      </c>
      <c r="Q21">
        <v>50</v>
      </c>
      <c r="R21" t="s">
        <v>27</v>
      </c>
      <c r="S21">
        <v>75</v>
      </c>
      <c r="T21" t="s">
        <v>27</v>
      </c>
      <c r="U21">
        <v>80</v>
      </c>
      <c r="V21">
        <f>COUNTIF(N21:P21:R21:T21,"Yes")</f>
        <v>4</v>
      </c>
      <c r="W21">
        <f t="shared" si="1"/>
        <v>100</v>
      </c>
      <c r="X21" s="1">
        <f t="shared" si="2"/>
        <v>70.75</v>
      </c>
      <c r="Y21" t="str">
        <f t="shared" si="3"/>
        <v>Excellent</v>
      </c>
      <c r="Z21">
        <f t="shared" si="4"/>
        <v>10000</v>
      </c>
      <c r="AA21" t="str">
        <f t="shared" si="5"/>
        <v>intern for 6 month</v>
      </c>
    </row>
    <row r="22" spans="1:27" x14ac:dyDescent="0.25">
      <c r="A22" t="s">
        <v>62</v>
      </c>
      <c r="B22" t="s">
        <v>139</v>
      </c>
      <c r="C22" t="s">
        <v>63</v>
      </c>
      <c r="D22" t="s">
        <v>33</v>
      </c>
      <c r="E22">
        <v>9876543230</v>
      </c>
      <c r="F22" t="s">
        <v>49</v>
      </c>
      <c r="G22" t="s">
        <v>187</v>
      </c>
      <c r="H22" t="s">
        <v>26</v>
      </c>
      <c r="I22">
        <v>31</v>
      </c>
      <c r="J22">
        <v>31</v>
      </c>
      <c r="K22">
        <v>31</v>
      </c>
      <c r="L22" s="1">
        <f t="shared" si="0"/>
        <v>100</v>
      </c>
      <c r="M22" s="1">
        <v>4</v>
      </c>
      <c r="N22" t="s">
        <v>27</v>
      </c>
      <c r="O22">
        <v>95</v>
      </c>
      <c r="P22" t="s">
        <v>27</v>
      </c>
      <c r="Q22">
        <v>85</v>
      </c>
      <c r="R22" t="s">
        <v>27</v>
      </c>
      <c r="S22">
        <v>94</v>
      </c>
      <c r="T22" t="s">
        <v>27</v>
      </c>
      <c r="U22">
        <v>95</v>
      </c>
      <c r="V22">
        <f>COUNTIF(N22:P22:R22:T22,"Yes")</f>
        <v>4</v>
      </c>
      <c r="W22">
        <f t="shared" si="1"/>
        <v>100</v>
      </c>
      <c r="X22" s="1">
        <f t="shared" si="2"/>
        <v>92.25</v>
      </c>
      <c r="Y22" t="str">
        <f t="shared" si="3"/>
        <v>Outstanding</v>
      </c>
      <c r="Z22">
        <f t="shared" si="4"/>
        <v>15000</v>
      </c>
      <c r="AA22" t="str">
        <f t="shared" si="5"/>
        <v>Hiring</v>
      </c>
    </row>
    <row r="23" spans="1:27" x14ac:dyDescent="0.25">
      <c r="A23" t="s">
        <v>64</v>
      </c>
      <c r="B23" t="s">
        <v>140</v>
      </c>
      <c r="C23" t="s">
        <v>177</v>
      </c>
      <c r="D23" t="s">
        <v>30</v>
      </c>
      <c r="E23">
        <v>9876543231</v>
      </c>
      <c r="F23" t="s">
        <v>43</v>
      </c>
      <c r="G23" t="s">
        <v>188</v>
      </c>
      <c r="H23" t="s">
        <v>26</v>
      </c>
      <c r="I23">
        <v>31</v>
      </c>
      <c r="J23">
        <v>31</v>
      </c>
      <c r="K23">
        <v>31</v>
      </c>
      <c r="L23" s="1">
        <f t="shared" si="0"/>
        <v>100</v>
      </c>
      <c r="M23" s="1">
        <v>4</v>
      </c>
      <c r="N23" t="s">
        <v>27</v>
      </c>
      <c r="O23">
        <v>91</v>
      </c>
      <c r="P23" t="s">
        <v>27</v>
      </c>
      <c r="Q23">
        <v>77</v>
      </c>
      <c r="R23" t="s">
        <v>27</v>
      </c>
      <c r="S23">
        <v>92</v>
      </c>
      <c r="T23" t="s">
        <v>27</v>
      </c>
      <c r="U23">
        <v>90</v>
      </c>
      <c r="V23">
        <f>COUNTIF(N23:P23:R23:T23,"Yes")</f>
        <v>4</v>
      </c>
      <c r="W23">
        <f t="shared" si="1"/>
        <v>100</v>
      </c>
      <c r="X23" s="1">
        <f t="shared" si="2"/>
        <v>87.5</v>
      </c>
      <c r="Y23" t="str">
        <f t="shared" si="3"/>
        <v>Excellent</v>
      </c>
      <c r="Z23">
        <f t="shared" si="4"/>
        <v>15000</v>
      </c>
      <c r="AA23" t="str">
        <f t="shared" si="5"/>
        <v>Hiring</v>
      </c>
    </row>
    <row r="24" spans="1:27" x14ac:dyDescent="0.25">
      <c r="A24" t="s">
        <v>65</v>
      </c>
      <c r="B24" t="s">
        <v>141</v>
      </c>
      <c r="C24" t="s">
        <v>178</v>
      </c>
      <c r="D24" t="s">
        <v>33</v>
      </c>
      <c r="E24">
        <v>9876543232</v>
      </c>
      <c r="F24" t="s">
        <v>184</v>
      </c>
      <c r="G24" t="s">
        <v>189</v>
      </c>
      <c r="H24" t="s">
        <v>26</v>
      </c>
      <c r="I24">
        <v>31</v>
      </c>
      <c r="J24">
        <v>18</v>
      </c>
      <c r="K24">
        <v>17</v>
      </c>
      <c r="L24" s="1">
        <f t="shared" si="0"/>
        <v>56.451612903225815</v>
      </c>
      <c r="M24" s="1">
        <v>4</v>
      </c>
      <c r="N24" t="s">
        <v>27</v>
      </c>
      <c r="O24">
        <v>55</v>
      </c>
      <c r="P24" t="s">
        <v>34</v>
      </c>
      <c r="Q24">
        <v>0</v>
      </c>
      <c r="R24" t="s">
        <v>27</v>
      </c>
      <c r="S24">
        <v>60</v>
      </c>
      <c r="T24" t="s">
        <v>34</v>
      </c>
      <c r="U24">
        <v>0</v>
      </c>
      <c r="V24">
        <f>COUNTIF(N24:P24:R24:T24,"Yes")</f>
        <v>2</v>
      </c>
      <c r="W24">
        <f t="shared" si="1"/>
        <v>50</v>
      </c>
      <c r="X24" s="1">
        <f t="shared" si="2"/>
        <v>28.75</v>
      </c>
      <c r="Y24" t="str">
        <f t="shared" si="3"/>
        <v>Improvement</v>
      </c>
      <c r="Z24" t="str">
        <f t="shared" si="4"/>
        <v>No stipend</v>
      </c>
      <c r="AA24" t="str">
        <f t="shared" si="5"/>
        <v>intern for 1 month</v>
      </c>
    </row>
    <row r="25" spans="1:27" x14ac:dyDescent="0.25">
      <c r="A25" t="s">
        <v>105</v>
      </c>
      <c r="B25" t="s">
        <v>142</v>
      </c>
      <c r="C25" t="s">
        <v>66</v>
      </c>
      <c r="D25" t="s">
        <v>30</v>
      </c>
      <c r="E25">
        <v>9876543233</v>
      </c>
      <c r="F25" t="s">
        <v>36</v>
      </c>
      <c r="G25" t="s">
        <v>187</v>
      </c>
      <c r="H25" t="s">
        <v>26</v>
      </c>
      <c r="I25">
        <v>31</v>
      </c>
      <c r="J25">
        <v>30</v>
      </c>
      <c r="K25">
        <v>31</v>
      </c>
      <c r="L25" s="1">
        <f t="shared" si="0"/>
        <v>98.387096774193552</v>
      </c>
      <c r="M25" s="1">
        <v>4</v>
      </c>
      <c r="N25" t="s">
        <v>27</v>
      </c>
      <c r="O25">
        <v>89</v>
      </c>
      <c r="P25" t="s">
        <v>27</v>
      </c>
      <c r="Q25">
        <v>66</v>
      </c>
      <c r="R25" t="s">
        <v>27</v>
      </c>
      <c r="S25">
        <v>88</v>
      </c>
      <c r="T25" t="s">
        <v>27</v>
      </c>
      <c r="U25">
        <v>89</v>
      </c>
      <c r="V25">
        <f>COUNTIF(N25:P25:R25:T25,"Yes")</f>
        <v>4</v>
      </c>
      <c r="W25">
        <f t="shared" si="1"/>
        <v>100</v>
      </c>
      <c r="X25" s="1">
        <f t="shared" si="2"/>
        <v>83</v>
      </c>
      <c r="Y25" t="str">
        <f t="shared" si="3"/>
        <v>Excellent</v>
      </c>
      <c r="Z25">
        <f t="shared" si="4"/>
        <v>15000</v>
      </c>
      <c r="AA25" t="str">
        <f t="shared" si="5"/>
        <v>Hiring</v>
      </c>
    </row>
    <row r="26" spans="1:27" x14ac:dyDescent="0.25">
      <c r="A26" t="s">
        <v>67</v>
      </c>
      <c r="B26" t="s">
        <v>143</v>
      </c>
      <c r="C26" t="s">
        <v>68</v>
      </c>
      <c r="D26" t="s">
        <v>33</v>
      </c>
      <c r="E26">
        <v>9876543234</v>
      </c>
      <c r="F26" t="s">
        <v>38</v>
      </c>
      <c r="G26" t="s">
        <v>188</v>
      </c>
      <c r="H26" t="s">
        <v>26</v>
      </c>
      <c r="I26">
        <v>31</v>
      </c>
      <c r="J26">
        <v>10</v>
      </c>
      <c r="K26">
        <v>10</v>
      </c>
      <c r="L26" s="1">
        <f t="shared" si="0"/>
        <v>32.258064516129032</v>
      </c>
      <c r="M26" s="1">
        <v>4</v>
      </c>
      <c r="N26" t="s">
        <v>34</v>
      </c>
      <c r="O26">
        <v>0</v>
      </c>
      <c r="P26" t="s">
        <v>34</v>
      </c>
      <c r="Q26">
        <v>0</v>
      </c>
      <c r="R26" t="s">
        <v>34</v>
      </c>
      <c r="S26">
        <v>0</v>
      </c>
      <c r="T26" t="s">
        <v>34</v>
      </c>
      <c r="U26">
        <v>0</v>
      </c>
      <c r="V26">
        <f>COUNTIF(N26:P26:R26:T26,"Yes")</f>
        <v>0</v>
      </c>
      <c r="W26">
        <f t="shared" si="1"/>
        <v>0</v>
      </c>
      <c r="X26" s="1">
        <f t="shared" si="2"/>
        <v>0</v>
      </c>
      <c r="Y26" t="str">
        <f t="shared" si="3"/>
        <v>Improvement</v>
      </c>
      <c r="Z26" t="str">
        <f t="shared" si="4"/>
        <v>No stipend</v>
      </c>
      <c r="AA26" t="str">
        <f t="shared" si="5"/>
        <v>intern for 1 month</v>
      </c>
    </row>
    <row r="27" spans="1:27" x14ac:dyDescent="0.25">
      <c r="A27" t="s">
        <v>106</v>
      </c>
      <c r="B27" t="s">
        <v>144</v>
      </c>
      <c r="C27" t="s">
        <v>69</v>
      </c>
      <c r="D27" t="s">
        <v>30</v>
      </c>
      <c r="E27">
        <v>9876543235</v>
      </c>
      <c r="F27" t="s">
        <v>49</v>
      </c>
      <c r="G27" t="s">
        <v>189</v>
      </c>
      <c r="H27" t="s">
        <v>26</v>
      </c>
      <c r="I27">
        <v>31</v>
      </c>
      <c r="J27">
        <v>31</v>
      </c>
      <c r="K27">
        <v>31</v>
      </c>
      <c r="L27" s="1">
        <f t="shared" si="0"/>
        <v>100</v>
      </c>
      <c r="M27" s="1">
        <v>4</v>
      </c>
      <c r="N27" t="s">
        <v>27</v>
      </c>
      <c r="O27">
        <v>97</v>
      </c>
      <c r="P27" t="s">
        <v>27</v>
      </c>
      <c r="Q27">
        <v>50</v>
      </c>
      <c r="R27" t="s">
        <v>27</v>
      </c>
      <c r="S27">
        <v>96</v>
      </c>
      <c r="T27" t="s">
        <v>27</v>
      </c>
      <c r="U27">
        <v>98</v>
      </c>
      <c r="V27">
        <f>COUNTIF(N27:P27:R27:T27,"Yes")</f>
        <v>4</v>
      </c>
      <c r="W27">
        <f t="shared" si="1"/>
        <v>100</v>
      </c>
      <c r="X27" s="1">
        <f t="shared" si="2"/>
        <v>85.25</v>
      </c>
      <c r="Y27" t="str">
        <f t="shared" si="3"/>
        <v>Excellent</v>
      </c>
      <c r="Z27">
        <f t="shared" si="4"/>
        <v>15000</v>
      </c>
      <c r="AA27" t="str">
        <f t="shared" si="5"/>
        <v>Hiring</v>
      </c>
    </row>
    <row r="28" spans="1:27" x14ac:dyDescent="0.25">
      <c r="A28" t="s">
        <v>70</v>
      </c>
      <c r="B28" t="s">
        <v>145</v>
      </c>
      <c r="C28" t="s">
        <v>71</v>
      </c>
      <c r="D28" t="s">
        <v>33</v>
      </c>
      <c r="E28">
        <v>9876543236</v>
      </c>
      <c r="F28" t="s">
        <v>43</v>
      </c>
      <c r="G28" t="s">
        <v>187</v>
      </c>
      <c r="H28" t="s">
        <v>26</v>
      </c>
      <c r="I28">
        <v>31</v>
      </c>
      <c r="J28">
        <v>29</v>
      </c>
      <c r="K28">
        <v>29</v>
      </c>
      <c r="L28" s="1">
        <f t="shared" si="0"/>
        <v>93.548387096774192</v>
      </c>
      <c r="M28" s="1">
        <v>4</v>
      </c>
      <c r="N28" t="s">
        <v>27</v>
      </c>
      <c r="O28">
        <v>86</v>
      </c>
      <c r="P28" t="s">
        <v>27</v>
      </c>
      <c r="Q28">
        <v>89</v>
      </c>
      <c r="R28" t="s">
        <v>27</v>
      </c>
      <c r="S28">
        <v>84</v>
      </c>
      <c r="T28" t="s">
        <v>27</v>
      </c>
      <c r="U28">
        <v>87</v>
      </c>
      <c r="V28">
        <f>COUNTIF(N28:P28:R28:T28,"Yes")</f>
        <v>4</v>
      </c>
      <c r="W28">
        <f t="shared" si="1"/>
        <v>100</v>
      </c>
      <c r="X28" s="1">
        <f t="shared" si="2"/>
        <v>86.5</v>
      </c>
      <c r="Y28" t="str">
        <f t="shared" si="3"/>
        <v>Excellent</v>
      </c>
      <c r="Z28">
        <f t="shared" si="4"/>
        <v>15000</v>
      </c>
      <c r="AA28" t="str">
        <f t="shared" si="5"/>
        <v>Hiring</v>
      </c>
    </row>
    <row r="29" spans="1:27" x14ac:dyDescent="0.25">
      <c r="A29" t="s">
        <v>107</v>
      </c>
      <c r="B29" t="s">
        <v>146</v>
      </c>
      <c r="C29" t="s">
        <v>72</v>
      </c>
      <c r="D29" t="s">
        <v>30</v>
      </c>
      <c r="E29">
        <v>9876543237</v>
      </c>
      <c r="F29" t="s">
        <v>184</v>
      </c>
      <c r="G29" t="s">
        <v>188</v>
      </c>
      <c r="H29" t="s">
        <v>26</v>
      </c>
      <c r="I29">
        <v>31</v>
      </c>
      <c r="J29">
        <v>31</v>
      </c>
      <c r="K29">
        <v>31</v>
      </c>
      <c r="L29" s="1">
        <f t="shared" si="0"/>
        <v>100</v>
      </c>
      <c r="M29" s="1">
        <v>4</v>
      </c>
      <c r="N29" t="s">
        <v>27</v>
      </c>
      <c r="O29">
        <v>92</v>
      </c>
      <c r="P29" t="s">
        <v>27</v>
      </c>
      <c r="Q29">
        <v>90</v>
      </c>
      <c r="R29" t="s">
        <v>27</v>
      </c>
      <c r="S29">
        <v>93</v>
      </c>
      <c r="T29" t="s">
        <v>27</v>
      </c>
      <c r="U29">
        <v>91</v>
      </c>
      <c r="V29">
        <f>COUNTIF(N29:P29:R29:T29,"Yes")</f>
        <v>4</v>
      </c>
      <c r="W29">
        <f t="shared" si="1"/>
        <v>100</v>
      </c>
      <c r="X29" s="1">
        <f t="shared" si="2"/>
        <v>91.5</v>
      </c>
      <c r="Y29" t="str">
        <f t="shared" si="3"/>
        <v>Outstanding</v>
      </c>
      <c r="Z29">
        <f t="shared" si="4"/>
        <v>15000</v>
      </c>
      <c r="AA29" t="str">
        <f t="shared" si="5"/>
        <v>Hiring</v>
      </c>
    </row>
    <row r="30" spans="1:27" x14ac:dyDescent="0.25">
      <c r="A30" t="s">
        <v>108</v>
      </c>
      <c r="B30" t="s">
        <v>147</v>
      </c>
      <c r="C30" t="s">
        <v>73</v>
      </c>
      <c r="D30" t="s">
        <v>33</v>
      </c>
      <c r="E30">
        <v>9876543238</v>
      </c>
      <c r="F30" t="s">
        <v>36</v>
      </c>
      <c r="G30" t="s">
        <v>187</v>
      </c>
      <c r="H30" t="s">
        <v>26</v>
      </c>
      <c r="I30">
        <v>31</v>
      </c>
      <c r="J30">
        <v>15</v>
      </c>
      <c r="K30">
        <v>12</v>
      </c>
      <c r="L30" s="1">
        <f t="shared" si="0"/>
        <v>43.548387096774192</v>
      </c>
      <c r="M30" s="1">
        <v>4</v>
      </c>
      <c r="N30" t="s">
        <v>34</v>
      </c>
      <c r="O30">
        <v>0</v>
      </c>
      <c r="P30" t="s">
        <v>34</v>
      </c>
      <c r="Q30">
        <v>0</v>
      </c>
      <c r="R30" t="s">
        <v>27</v>
      </c>
      <c r="S30">
        <v>45</v>
      </c>
      <c r="T30" t="s">
        <v>34</v>
      </c>
      <c r="U30">
        <v>0</v>
      </c>
      <c r="V30">
        <f>COUNTIF(N30:P30:R30:T30,"Yes")</f>
        <v>1</v>
      </c>
      <c r="W30">
        <f t="shared" si="1"/>
        <v>25</v>
      </c>
      <c r="X30" s="1">
        <f t="shared" si="2"/>
        <v>11.25</v>
      </c>
      <c r="Y30" t="str">
        <f t="shared" si="3"/>
        <v>Improvement</v>
      </c>
      <c r="Z30" t="str">
        <f t="shared" si="4"/>
        <v>No stipend</v>
      </c>
      <c r="AA30" t="str">
        <f t="shared" si="5"/>
        <v>intern for 1 month</v>
      </c>
    </row>
    <row r="31" spans="1:27" x14ac:dyDescent="0.25">
      <c r="A31" t="s">
        <v>74</v>
      </c>
      <c r="B31" t="s">
        <v>148</v>
      </c>
      <c r="C31" t="s">
        <v>75</v>
      </c>
      <c r="D31" t="s">
        <v>30</v>
      </c>
      <c r="E31">
        <v>9876543239</v>
      </c>
      <c r="F31" t="s">
        <v>38</v>
      </c>
      <c r="G31" t="s">
        <v>188</v>
      </c>
      <c r="H31" t="s">
        <v>26</v>
      </c>
      <c r="I31">
        <v>31</v>
      </c>
      <c r="J31">
        <v>27</v>
      </c>
      <c r="K31">
        <v>27</v>
      </c>
      <c r="L31" s="1">
        <f t="shared" si="0"/>
        <v>87.096774193548384</v>
      </c>
      <c r="M31" s="1">
        <v>4</v>
      </c>
      <c r="N31" t="s">
        <v>27</v>
      </c>
      <c r="O31">
        <v>82</v>
      </c>
      <c r="P31" t="s">
        <v>27</v>
      </c>
      <c r="Q31">
        <v>75</v>
      </c>
      <c r="R31" t="s">
        <v>27</v>
      </c>
      <c r="S31">
        <v>80</v>
      </c>
      <c r="T31" t="s">
        <v>27</v>
      </c>
      <c r="U31">
        <v>81</v>
      </c>
      <c r="V31">
        <f>COUNTIF(N31:P31:R31:T31,"Yes")</f>
        <v>4</v>
      </c>
      <c r="W31">
        <f t="shared" si="1"/>
        <v>100</v>
      </c>
      <c r="X31" s="1">
        <f t="shared" si="2"/>
        <v>79.5</v>
      </c>
      <c r="Y31" t="str">
        <f t="shared" si="3"/>
        <v>Excellent</v>
      </c>
      <c r="Z31">
        <f t="shared" si="4"/>
        <v>10000</v>
      </c>
      <c r="AA31" t="str">
        <f t="shared" si="5"/>
        <v>intern for 6 month</v>
      </c>
    </row>
    <row r="32" spans="1:27" x14ac:dyDescent="0.25">
      <c r="A32" t="s">
        <v>76</v>
      </c>
      <c r="B32" t="s">
        <v>149</v>
      </c>
      <c r="C32" t="s">
        <v>77</v>
      </c>
      <c r="D32" t="s">
        <v>33</v>
      </c>
      <c r="E32">
        <v>9876543240</v>
      </c>
      <c r="F32" t="s">
        <v>49</v>
      </c>
      <c r="G32" t="s">
        <v>189</v>
      </c>
      <c r="H32" t="s">
        <v>26</v>
      </c>
      <c r="I32">
        <v>31</v>
      </c>
      <c r="J32">
        <v>31</v>
      </c>
      <c r="K32">
        <v>31</v>
      </c>
      <c r="L32" s="1">
        <f t="shared" si="0"/>
        <v>100</v>
      </c>
      <c r="M32" s="1">
        <v>4</v>
      </c>
      <c r="N32" t="s">
        <v>27</v>
      </c>
      <c r="O32">
        <v>94</v>
      </c>
      <c r="P32" t="s">
        <v>27</v>
      </c>
      <c r="Q32">
        <v>95</v>
      </c>
      <c r="R32" t="s">
        <v>27</v>
      </c>
      <c r="S32">
        <v>95</v>
      </c>
      <c r="T32" t="s">
        <v>27</v>
      </c>
      <c r="U32">
        <v>94</v>
      </c>
      <c r="V32">
        <f>COUNTIF(N32:P32:R32:T32,"Yes")</f>
        <v>4</v>
      </c>
      <c r="W32">
        <f t="shared" si="1"/>
        <v>100</v>
      </c>
      <c r="X32" s="1">
        <f t="shared" si="2"/>
        <v>94.5</v>
      </c>
      <c r="Y32" t="str">
        <f t="shared" si="3"/>
        <v>Outstanding</v>
      </c>
      <c r="Z32">
        <f t="shared" si="4"/>
        <v>15000</v>
      </c>
      <c r="AA32" t="str">
        <f t="shared" si="5"/>
        <v>Hiring</v>
      </c>
    </row>
    <row r="33" spans="1:27" x14ac:dyDescent="0.25">
      <c r="A33" t="s">
        <v>109</v>
      </c>
      <c r="B33" t="s">
        <v>150</v>
      </c>
      <c r="C33" t="s">
        <v>78</v>
      </c>
      <c r="D33" t="s">
        <v>30</v>
      </c>
      <c r="E33">
        <v>9876543241</v>
      </c>
      <c r="F33" t="s">
        <v>43</v>
      </c>
      <c r="G33" t="s">
        <v>187</v>
      </c>
      <c r="H33" t="s">
        <v>26</v>
      </c>
      <c r="I33">
        <v>31</v>
      </c>
      <c r="J33">
        <v>31</v>
      </c>
      <c r="K33">
        <v>31</v>
      </c>
      <c r="L33" s="1">
        <f t="shared" si="0"/>
        <v>100</v>
      </c>
      <c r="M33" s="1">
        <v>4</v>
      </c>
      <c r="N33" t="s">
        <v>27</v>
      </c>
      <c r="O33">
        <v>91</v>
      </c>
      <c r="P33" t="s">
        <v>27</v>
      </c>
      <c r="Q33">
        <v>86</v>
      </c>
      <c r="R33" t="s">
        <v>27</v>
      </c>
      <c r="S33">
        <v>90</v>
      </c>
      <c r="T33" t="s">
        <v>27</v>
      </c>
      <c r="U33">
        <v>92</v>
      </c>
      <c r="V33">
        <f>COUNTIF(N33:P33:R33:T33,"Yes")</f>
        <v>4</v>
      </c>
      <c r="W33">
        <f t="shared" si="1"/>
        <v>100</v>
      </c>
      <c r="X33" s="1">
        <f t="shared" si="2"/>
        <v>89.75</v>
      </c>
      <c r="Y33" t="str">
        <f t="shared" si="3"/>
        <v>Excellent</v>
      </c>
      <c r="Z33">
        <f t="shared" si="4"/>
        <v>15000</v>
      </c>
      <c r="AA33" t="str">
        <f t="shared" si="5"/>
        <v>Hiring</v>
      </c>
    </row>
    <row r="34" spans="1:27" x14ac:dyDescent="0.25">
      <c r="A34" t="s">
        <v>79</v>
      </c>
      <c r="B34" t="s">
        <v>151</v>
      </c>
      <c r="C34" t="s">
        <v>80</v>
      </c>
      <c r="D34" t="s">
        <v>33</v>
      </c>
      <c r="E34">
        <v>9876543242</v>
      </c>
      <c r="F34" t="s">
        <v>184</v>
      </c>
      <c r="G34" t="s">
        <v>188</v>
      </c>
      <c r="H34" t="s">
        <v>26</v>
      </c>
      <c r="I34">
        <v>31</v>
      </c>
      <c r="J34">
        <v>24</v>
      </c>
      <c r="K34">
        <v>22</v>
      </c>
      <c r="L34" s="1">
        <f t="shared" ref="L34:L65" si="6">((J34 + K34)/2)/I34*100</f>
        <v>74.193548387096769</v>
      </c>
      <c r="M34" s="1">
        <v>4</v>
      </c>
      <c r="N34" t="s">
        <v>27</v>
      </c>
      <c r="O34">
        <v>72</v>
      </c>
      <c r="P34" t="s">
        <v>27</v>
      </c>
      <c r="Q34">
        <v>96</v>
      </c>
      <c r="R34" t="s">
        <v>34</v>
      </c>
      <c r="S34">
        <v>0</v>
      </c>
      <c r="T34" t="s">
        <v>27</v>
      </c>
      <c r="U34">
        <v>70</v>
      </c>
      <c r="V34">
        <f>COUNTIF(N34:P34:R34:T34,"Yes")</f>
        <v>3</v>
      </c>
      <c r="W34">
        <f t="shared" ref="W34:W65" si="7">(V34/M34)*100</f>
        <v>75</v>
      </c>
      <c r="X34" s="1">
        <f t="shared" ref="X34:X51" si="8">(O34+Q34+S34+U34)/M34</f>
        <v>59.5</v>
      </c>
      <c r="Y34" t="str">
        <f t="shared" ref="Y34:Y65" si="9">IF(X34&gt;=90,"Outstanding", IF(X34&gt;=70,"Excellent", IF(X34&gt;=65,"Good", IF(X34&gt;=40,"Average","Improvement"))))</f>
        <v>Average</v>
      </c>
      <c r="Z34">
        <f t="shared" ref="Z34:Z51" si="10">IF(AND(X34&gt;=80,W34&gt;=80,L34&gt;=80),15000,
IF(AND(X34&gt;=50,W34&gt;=50,L34&gt;=50),10000,"No stipend"))</f>
        <v>10000</v>
      </c>
      <c r="AA34" t="str">
        <f t="shared" ref="AA34:AA65" si="11">IF(Z34=15000,"Hiring",IF(Z34=10000,"intern for 6 month",IF(Z34="No stipend","intern for 1 month")))</f>
        <v>intern for 6 month</v>
      </c>
    </row>
    <row r="35" spans="1:27" x14ac:dyDescent="0.25">
      <c r="A35" t="s">
        <v>81</v>
      </c>
      <c r="B35" t="s">
        <v>152</v>
      </c>
      <c r="C35" t="s">
        <v>82</v>
      </c>
      <c r="D35" t="s">
        <v>30</v>
      </c>
      <c r="E35">
        <v>9876543243</v>
      </c>
      <c r="F35" t="s">
        <v>36</v>
      </c>
      <c r="G35" t="s">
        <v>189</v>
      </c>
      <c r="H35" t="s">
        <v>26</v>
      </c>
      <c r="I35">
        <v>31</v>
      </c>
      <c r="J35">
        <v>31</v>
      </c>
      <c r="K35">
        <v>30</v>
      </c>
      <c r="L35" s="1">
        <f t="shared" si="6"/>
        <v>98.387096774193552</v>
      </c>
      <c r="M35" s="1">
        <v>4</v>
      </c>
      <c r="N35" t="s">
        <v>27</v>
      </c>
      <c r="O35">
        <v>95</v>
      </c>
      <c r="P35" t="s">
        <v>27</v>
      </c>
      <c r="Q35">
        <v>82</v>
      </c>
      <c r="R35" t="s">
        <v>27</v>
      </c>
      <c r="S35">
        <v>96</v>
      </c>
      <c r="T35" t="s">
        <v>27</v>
      </c>
      <c r="U35">
        <v>94</v>
      </c>
      <c r="V35">
        <f>COUNTIF(N35:P35:R35:T35,"Yes")</f>
        <v>4</v>
      </c>
      <c r="W35">
        <f t="shared" si="7"/>
        <v>100</v>
      </c>
      <c r="X35" s="1">
        <f t="shared" si="8"/>
        <v>91.75</v>
      </c>
      <c r="Y35" t="str">
        <f t="shared" si="9"/>
        <v>Outstanding</v>
      </c>
      <c r="Z35">
        <f t="shared" si="10"/>
        <v>15000</v>
      </c>
      <c r="AA35" t="str">
        <f t="shared" si="11"/>
        <v>Hiring</v>
      </c>
    </row>
    <row r="36" spans="1:27" x14ac:dyDescent="0.25">
      <c r="A36" t="s">
        <v>83</v>
      </c>
      <c r="B36" t="s">
        <v>153</v>
      </c>
      <c r="C36" t="s">
        <v>84</v>
      </c>
      <c r="D36" t="s">
        <v>33</v>
      </c>
      <c r="E36">
        <v>9876543244</v>
      </c>
      <c r="F36" t="s">
        <v>38</v>
      </c>
      <c r="G36" t="s">
        <v>187</v>
      </c>
      <c r="H36" t="s">
        <v>26</v>
      </c>
      <c r="I36">
        <v>31</v>
      </c>
      <c r="J36">
        <v>11</v>
      </c>
      <c r="K36">
        <v>10</v>
      </c>
      <c r="L36" s="1">
        <f t="shared" si="6"/>
        <v>33.87096774193548</v>
      </c>
      <c r="M36" s="1">
        <v>4</v>
      </c>
      <c r="N36" t="s">
        <v>34</v>
      </c>
      <c r="O36">
        <v>0</v>
      </c>
      <c r="P36" t="s">
        <v>34</v>
      </c>
      <c r="Q36">
        <v>80</v>
      </c>
      <c r="R36" t="s">
        <v>34</v>
      </c>
      <c r="S36">
        <v>0</v>
      </c>
      <c r="T36" t="s">
        <v>34</v>
      </c>
      <c r="U36">
        <v>0</v>
      </c>
      <c r="V36">
        <f>COUNTIF(N36:P36:R36:T36,"Yes")</f>
        <v>0</v>
      </c>
      <c r="W36">
        <f t="shared" si="7"/>
        <v>0</v>
      </c>
      <c r="X36" s="1">
        <f t="shared" si="8"/>
        <v>20</v>
      </c>
      <c r="Y36" t="str">
        <f t="shared" si="9"/>
        <v>Improvement</v>
      </c>
      <c r="Z36" t="str">
        <f t="shared" si="10"/>
        <v>No stipend</v>
      </c>
      <c r="AA36" t="str">
        <f t="shared" si="11"/>
        <v>intern for 1 month</v>
      </c>
    </row>
    <row r="37" spans="1:27" x14ac:dyDescent="0.25">
      <c r="A37" t="s">
        <v>85</v>
      </c>
      <c r="B37" t="s">
        <v>154</v>
      </c>
      <c r="C37" t="s">
        <v>86</v>
      </c>
      <c r="D37" t="s">
        <v>30</v>
      </c>
      <c r="E37">
        <v>9876543245</v>
      </c>
      <c r="F37" t="s">
        <v>49</v>
      </c>
      <c r="G37" t="s">
        <v>188</v>
      </c>
      <c r="H37" t="s">
        <v>26</v>
      </c>
      <c r="I37">
        <v>31</v>
      </c>
      <c r="J37">
        <v>31</v>
      </c>
      <c r="K37">
        <v>31</v>
      </c>
      <c r="L37" s="1">
        <f t="shared" si="6"/>
        <v>100</v>
      </c>
      <c r="M37" s="1">
        <v>4</v>
      </c>
      <c r="N37" t="s">
        <v>27</v>
      </c>
      <c r="O37">
        <v>98</v>
      </c>
      <c r="P37" t="s">
        <v>27</v>
      </c>
      <c r="Q37">
        <v>80</v>
      </c>
      <c r="R37" t="s">
        <v>27</v>
      </c>
      <c r="S37">
        <v>97</v>
      </c>
      <c r="T37" t="s">
        <v>27</v>
      </c>
      <c r="U37">
        <v>98</v>
      </c>
      <c r="V37">
        <f>COUNTIF(N37:P37:R37:T37,"Yes")</f>
        <v>4</v>
      </c>
      <c r="W37">
        <f t="shared" si="7"/>
        <v>100</v>
      </c>
      <c r="X37" s="1">
        <f t="shared" si="8"/>
        <v>93.25</v>
      </c>
      <c r="Y37" t="str">
        <f t="shared" si="9"/>
        <v>Outstanding</v>
      </c>
      <c r="Z37">
        <f t="shared" si="10"/>
        <v>15000</v>
      </c>
      <c r="AA37" t="str">
        <f t="shared" si="11"/>
        <v>Hiring</v>
      </c>
    </row>
    <row r="38" spans="1:27" x14ac:dyDescent="0.25">
      <c r="A38" t="s">
        <v>110</v>
      </c>
      <c r="B38" t="s">
        <v>155</v>
      </c>
      <c r="C38" t="s">
        <v>179</v>
      </c>
      <c r="D38" t="s">
        <v>33</v>
      </c>
      <c r="E38">
        <v>9876543246</v>
      </c>
      <c r="F38" t="s">
        <v>43</v>
      </c>
      <c r="G38" t="s">
        <v>189</v>
      </c>
      <c r="H38" t="s">
        <v>26</v>
      </c>
      <c r="I38">
        <v>31</v>
      </c>
      <c r="J38">
        <v>28</v>
      </c>
      <c r="K38">
        <v>29</v>
      </c>
      <c r="L38" s="1">
        <f t="shared" si="6"/>
        <v>91.935483870967744</v>
      </c>
      <c r="M38" s="1">
        <v>4</v>
      </c>
      <c r="N38" t="s">
        <v>27</v>
      </c>
      <c r="O38">
        <v>85</v>
      </c>
      <c r="P38" t="s">
        <v>27</v>
      </c>
      <c r="Q38">
        <v>86</v>
      </c>
      <c r="R38" t="s">
        <v>27</v>
      </c>
      <c r="S38">
        <v>82</v>
      </c>
      <c r="T38" t="s">
        <v>27</v>
      </c>
      <c r="U38">
        <v>84</v>
      </c>
      <c r="V38">
        <f>COUNTIF(N38:P38:R38:T38,"Yes")</f>
        <v>4</v>
      </c>
      <c r="W38">
        <f t="shared" si="7"/>
        <v>100</v>
      </c>
      <c r="X38" s="1">
        <f t="shared" si="8"/>
        <v>84.25</v>
      </c>
      <c r="Y38" t="str">
        <f t="shared" si="9"/>
        <v>Excellent</v>
      </c>
      <c r="Z38">
        <f t="shared" si="10"/>
        <v>15000</v>
      </c>
      <c r="AA38" t="str">
        <f t="shared" si="11"/>
        <v>Hiring</v>
      </c>
    </row>
    <row r="39" spans="1:27" x14ac:dyDescent="0.25">
      <c r="A39" t="s">
        <v>87</v>
      </c>
      <c r="B39" t="s">
        <v>156</v>
      </c>
      <c r="C39" t="s">
        <v>88</v>
      </c>
      <c r="D39" t="s">
        <v>30</v>
      </c>
      <c r="E39">
        <v>9876543247</v>
      </c>
      <c r="F39" t="s">
        <v>184</v>
      </c>
      <c r="G39" t="s">
        <v>187</v>
      </c>
      <c r="H39" t="s">
        <v>26</v>
      </c>
      <c r="I39">
        <v>31</v>
      </c>
      <c r="J39">
        <v>30</v>
      </c>
      <c r="K39">
        <v>30</v>
      </c>
      <c r="L39" s="1">
        <f t="shared" si="6"/>
        <v>96.774193548387103</v>
      </c>
      <c r="M39" s="1">
        <v>4</v>
      </c>
      <c r="N39" t="s">
        <v>27</v>
      </c>
      <c r="O39">
        <v>89</v>
      </c>
      <c r="P39" t="s">
        <v>27</v>
      </c>
      <c r="Q39">
        <v>82</v>
      </c>
      <c r="R39" t="s">
        <v>27</v>
      </c>
      <c r="S39">
        <v>90</v>
      </c>
      <c r="T39" t="s">
        <v>27</v>
      </c>
      <c r="U39">
        <v>88</v>
      </c>
      <c r="V39">
        <f>COUNTIF(N39:P39:R39:T39,"Yes")</f>
        <v>4</v>
      </c>
      <c r="W39">
        <f t="shared" si="7"/>
        <v>100</v>
      </c>
      <c r="X39" s="1">
        <f t="shared" si="8"/>
        <v>87.25</v>
      </c>
      <c r="Y39" t="str">
        <f t="shared" si="9"/>
        <v>Excellent</v>
      </c>
      <c r="Z39">
        <f t="shared" si="10"/>
        <v>15000</v>
      </c>
      <c r="AA39" t="str">
        <f t="shared" si="11"/>
        <v>Hiring</v>
      </c>
    </row>
    <row r="40" spans="1:27" x14ac:dyDescent="0.25">
      <c r="A40" t="s">
        <v>111</v>
      </c>
      <c r="B40" t="s">
        <v>157</v>
      </c>
      <c r="C40" t="s">
        <v>89</v>
      </c>
      <c r="D40" t="s">
        <v>33</v>
      </c>
      <c r="E40">
        <v>9876543248</v>
      </c>
      <c r="F40" t="s">
        <v>36</v>
      </c>
      <c r="G40" t="s">
        <v>188</v>
      </c>
      <c r="H40" t="s">
        <v>26</v>
      </c>
      <c r="I40">
        <v>31</v>
      </c>
      <c r="J40">
        <v>14</v>
      </c>
      <c r="K40">
        <v>15</v>
      </c>
      <c r="L40" s="1">
        <f t="shared" si="6"/>
        <v>46.774193548387096</v>
      </c>
      <c r="M40" s="1">
        <v>4</v>
      </c>
      <c r="N40" t="s">
        <v>34</v>
      </c>
      <c r="O40">
        <v>0</v>
      </c>
      <c r="P40" t="s">
        <v>34</v>
      </c>
      <c r="Q40">
        <v>0</v>
      </c>
      <c r="R40" t="s">
        <v>27</v>
      </c>
      <c r="S40">
        <v>55</v>
      </c>
      <c r="T40" t="s">
        <v>34</v>
      </c>
      <c r="U40">
        <v>0</v>
      </c>
      <c r="V40">
        <f>COUNTIF(N40:P40:R40:T40,"Yes")</f>
        <v>1</v>
      </c>
      <c r="W40">
        <f t="shared" si="7"/>
        <v>25</v>
      </c>
      <c r="X40" s="1">
        <f t="shared" si="8"/>
        <v>13.75</v>
      </c>
      <c r="Y40" t="str">
        <f t="shared" si="9"/>
        <v>Improvement</v>
      </c>
      <c r="Z40" t="str">
        <f t="shared" si="10"/>
        <v>No stipend</v>
      </c>
      <c r="AA40" t="str">
        <f t="shared" si="11"/>
        <v>intern for 1 month</v>
      </c>
    </row>
    <row r="41" spans="1:27" x14ac:dyDescent="0.25">
      <c r="A41" t="s">
        <v>90</v>
      </c>
      <c r="B41" t="s">
        <v>158</v>
      </c>
      <c r="C41" t="s">
        <v>180</v>
      </c>
      <c r="D41" t="s">
        <v>30</v>
      </c>
      <c r="E41">
        <v>9876543249</v>
      </c>
      <c r="F41" t="s">
        <v>38</v>
      </c>
      <c r="G41" t="s">
        <v>189</v>
      </c>
      <c r="H41" t="s">
        <v>26</v>
      </c>
      <c r="I41">
        <v>31</v>
      </c>
      <c r="J41">
        <v>26</v>
      </c>
      <c r="K41">
        <v>25</v>
      </c>
      <c r="L41" s="1">
        <f t="shared" si="6"/>
        <v>82.258064516129039</v>
      </c>
      <c r="M41" s="1">
        <v>4</v>
      </c>
      <c r="N41" t="s">
        <v>27</v>
      </c>
      <c r="O41">
        <v>78</v>
      </c>
      <c r="P41" t="s">
        <v>27</v>
      </c>
      <c r="Q41">
        <v>84</v>
      </c>
      <c r="R41" t="s">
        <v>27</v>
      </c>
      <c r="S41">
        <v>74</v>
      </c>
      <c r="T41" t="s">
        <v>27</v>
      </c>
      <c r="U41">
        <v>76</v>
      </c>
      <c r="V41">
        <f>COUNTIF(N41:P41:R41:T41,"Yes")</f>
        <v>4</v>
      </c>
      <c r="W41">
        <f t="shared" si="7"/>
        <v>100</v>
      </c>
      <c r="X41" s="1">
        <f t="shared" si="8"/>
        <v>78</v>
      </c>
      <c r="Y41" t="str">
        <f t="shared" si="9"/>
        <v>Excellent</v>
      </c>
      <c r="Z41">
        <f t="shared" si="10"/>
        <v>10000</v>
      </c>
      <c r="AA41" t="str">
        <f t="shared" si="11"/>
        <v>intern for 6 month</v>
      </c>
    </row>
    <row r="42" spans="1:27" x14ac:dyDescent="0.25">
      <c r="A42" t="s">
        <v>112</v>
      </c>
      <c r="B42" t="s">
        <v>159</v>
      </c>
      <c r="C42" t="s">
        <v>91</v>
      </c>
      <c r="D42" t="s">
        <v>33</v>
      </c>
      <c r="E42">
        <v>9876543250</v>
      </c>
      <c r="F42" t="s">
        <v>49</v>
      </c>
      <c r="G42" t="s">
        <v>187</v>
      </c>
      <c r="H42" t="s">
        <v>26</v>
      </c>
      <c r="I42">
        <v>31</v>
      </c>
      <c r="J42">
        <v>31</v>
      </c>
      <c r="K42">
        <v>31</v>
      </c>
      <c r="L42" s="1">
        <f t="shared" si="6"/>
        <v>100</v>
      </c>
      <c r="M42" s="1">
        <v>4</v>
      </c>
      <c r="N42" t="s">
        <v>27</v>
      </c>
      <c r="O42">
        <v>96</v>
      </c>
      <c r="P42" t="s">
        <v>27</v>
      </c>
      <c r="Q42">
        <v>89</v>
      </c>
      <c r="R42" t="s">
        <v>27</v>
      </c>
      <c r="S42">
        <v>95</v>
      </c>
      <c r="T42" t="s">
        <v>27</v>
      </c>
      <c r="U42">
        <v>96</v>
      </c>
      <c r="V42">
        <f>COUNTIF(N42:P42:R42:T42,"Yes")</f>
        <v>4</v>
      </c>
      <c r="W42">
        <f t="shared" si="7"/>
        <v>100</v>
      </c>
      <c r="X42" s="1">
        <f t="shared" si="8"/>
        <v>94</v>
      </c>
      <c r="Y42" t="str">
        <f t="shared" si="9"/>
        <v>Outstanding</v>
      </c>
      <c r="Z42">
        <f t="shared" si="10"/>
        <v>15000</v>
      </c>
      <c r="AA42" t="str">
        <f t="shared" si="11"/>
        <v>Hiring</v>
      </c>
    </row>
    <row r="43" spans="1:27" x14ac:dyDescent="0.25">
      <c r="A43" t="s">
        <v>113</v>
      </c>
      <c r="B43" t="s">
        <v>160</v>
      </c>
      <c r="C43" t="s">
        <v>181</v>
      </c>
      <c r="D43" t="s">
        <v>30</v>
      </c>
      <c r="E43">
        <v>9876543251</v>
      </c>
      <c r="F43" t="s">
        <v>43</v>
      </c>
      <c r="G43" t="s">
        <v>188</v>
      </c>
      <c r="H43" t="s">
        <v>26</v>
      </c>
      <c r="I43">
        <v>31</v>
      </c>
      <c r="J43">
        <v>31</v>
      </c>
      <c r="K43">
        <v>31</v>
      </c>
      <c r="L43" s="1">
        <f t="shared" si="6"/>
        <v>100</v>
      </c>
      <c r="M43" s="1">
        <v>4</v>
      </c>
      <c r="N43" t="s">
        <v>27</v>
      </c>
      <c r="O43">
        <v>93</v>
      </c>
      <c r="P43" t="s">
        <v>27</v>
      </c>
      <c r="Q43">
        <v>70</v>
      </c>
      <c r="R43" t="s">
        <v>27</v>
      </c>
      <c r="S43">
        <v>94</v>
      </c>
      <c r="T43" t="s">
        <v>27</v>
      </c>
      <c r="U43">
        <v>92</v>
      </c>
      <c r="V43">
        <f>COUNTIF(N43:P43:R43:T43,"Yes")</f>
        <v>4</v>
      </c>
      <c r="W43">
        <f t="shared" si="7"/>
        <v>100</v>
      </c>
      <c r="X43" s="1">
        <f t="shared" si="8"/>
        <v>87.25</v>
      </c>
      <c r="Y43" t="str">
        <f t="shared" si="9"/>
        <v>Excellent</v>
      </c>
      <c r="Z43">
        <f t="shared" si="10"/>
        <v>15000</v>
      </c>
      <c r="AA43" t="str">
        <f t="shared" si="11"/>
        <v>Hiring</v>
      </c>
    </row>
    <row r="44" spans="1:27" x14ac:dyDescent="0.25">
      <c r="A44" t="s">
        <v>114</v>
      </c>
      <c r="B44" t="s">
        <v>161</v>
      </c>
      <c r="C44" t="s">
        <v>92</v>
      </c>
      <c r="D44" t="s">
        <v>33</v>
      </c>
      <c r="E44">
        <v>9876543252</v>
      </c>
      <c r="F44" t="s">
        <v>184</v>
      </c>
      <c r="G44" t="s">
        <v>187</v>
      </c>
      <c r="H44" t="s">
        <v>26</v>
      </c>
      <c r="I44">
        <v>31</v>
      </c>
      <c r="J44">
        <v>20</v>
      </c>
      <c r="K44">
        <v>21</v>
      </c>
      <c r="L44" s="1">
        <f t="shared" si="6"/>
        <v>66.129032258064512</v>
      </c>
      <c r="M44" s="1">
        <v>4</v>
      </c>
      <c r="N44" t="s">
        <v>27</v>
      </c>
      <c r="O44">
        <v>68</v>
      </c>
      <c r="P44" t="s">
        <v>34</v>
      </c>
      <c r="Q44">
        <v>0</v>
      </c>
      <c r="R44" t="s">
        <v>34</v>
      </c>
      <c r="S44">
        <v>0</v>
      </c>
      <c r="T44" t="s">
        <v>27</v>
      </c>
      <c r="U44">
        <v>65</v>
      </c>
      <c r="V44">
        <f>COUNTIF(N44:P44:R44:T44,"Yes")</f>
        <v>2</v>
      </c>
      <c r="W44">
        <f t="shared" si="7"/>
        <v>50</v>
      </c>
      <c r="X44" s="1">
        <f t="shared" si="8"/>
        <v>33.25</v>
      </c>
      <c r="Y44" t="str">
        <f t="shared" si="9"/>
        <v>Improvement</v>
      </c>
      <c r="Z44" t="str">
        <f t="shared" si="10"/>
        <v>No stipend</v>
      </c>
      <c r="AA44" t="str">
        <f t="shared" si="11"/>
        <v>intern for 1 month</v>
      </c>
    </row>
    <row r="45" spans="1:27" x14ac:dyDescent="0.25">
      <c r="A45" t="s">
        <v>115</v>
      </c>
      <c r="B45" t="s">
        <v>162</v>
      </c>
      <c r="C45" t="s">
        <v>182</v>
      </c>
      <c r="D45" t="s">
        <v>30</v>
      </c>
      <c r="E45">
        <v>9876543253</v>
      </c>
      <c r="F45" t="s">
        <v>36</v>
      </c>
      <c r="G45" t="s">
        <v>188</v>
      </c>
      <c r="H45" t="s">
        <v>26</v>
      </c>
      <c r="I45">
        <v>31</v>
      </c>
      <c r="J45">
        <v>31</v>
      </c>
      <c r="K45">
        <v>31</v>
      </c>
      <c r="L45" s="1">
        <f t="shared" si="6"/>
        <v>100</v>
      </c>
      <c r="M45" s="1">
        <v>4</v>
      </c>
      <c r="N45" t="s">
        <v>27</v>
      </c>
      <c r="O45">
        <v>94</v>
      </c>
      <c r="P45" t="s">
        <v>27</v>
      </c>
      <c r="Q45">
        <v>75</v>
      </c>
      <c r="R45" t="s">
        <v>27</v>
      </c>
      <c r="S45">
        <v>93</v>
      </c>
      <c r="T45" t="s">
        <v>27</v>
      </c>
      <c r="U45">
        <v>95</v>
      </c>
      <c r="V45">
        <f>COUNTIF(N45:P45:R45:T45,"Yes")</f>
        <v>4</v>
      </c>
      <c r="W45">
        <f t="shared" si="7"/>
        <v>100</v>
      </c>
      <c r="X45" s="1">
        <f t="shared" si="8"/>
        <v>89.25</v>
      </c>
      <c r="Y45" t="str">
        <f t="shared" si="9"/>
        <v>Excellent</v>
      </c>
      <c r="Z45">
        <f t="shared" si="10"/>
        <v>15000</v>
      </c>
      <c r="AA45" t="str">
        <f t="shared" si="11"/>
        <v>Hiring</v>
      </c>
    </row>
    <row r="46" spans="1:27" x14ac:dyDescent="0.25">
      <c r="A46" t="s">
        <v>116</v>
      </c>
      <c r="B46" t="s">
        <v>163</v>
      </c>
      <c r="C46" t="s">
        <v>93</v>
      </c>
      <c r="D46" t="s">
        <v>33</v>
      </c>
      <c r="E46">
        <v>9876543254</v>
      </c>
      <c r="F46" t="s">
        <v>38</v>
      </c>
      <c r="G46" t="s">
        <v>189</v>
      </c>
      <c r="H46" t="s">
        <v>26</v>
      </c>
      <c r="I46">
        <v>31</v>
      </c>
      <c r="J46">
        <v>12</v>
      </c>
      <c r="K46">
        <v>11</v>
      </c>
      <c r="L46" s="1">
        <f t="shared" si="6"/>
        <v>37.096774193548384</v>
      </c>
      <c r="M46" s="1">
        <v>4</v>
      </c>
      <c r="N46" t="s">
        <v>34</v>
      </c>
      <c r="O46">
        <v>0</v>
      </c>
      <c r="P46" t="s">
        <v>34</v>
      </c>
      <c r="Q46">
        <v>0</v>
      </c>
      <c r="R46" t="s">
        <v>34</v>
      </c>
      <c r="S46">
        <v>0</v>
      </c>
      <c r="T46" t="s">
        <v>34</v>
      </c>
      <c r="U46">
        <v>0</v>
      </c>
      <c r="V46">
        <f>COUNTIF(N46:P46:R46:T46,"Yes")</f>
        <v>0</v>
      </c>
      <c r="W46">
        <f t="shared" si="7"/>
        <v>0</v>
      </c>
      <c r="X46" s="1">
        <f t="shared" si="8"/>
        <v>0</v>
      </c>
      <c r="Y46" t="str">
        <f t="shared" si="9"/>
        <v>Improvement</v>
      </c>
      <c r="Z46" t="str">
        <f t="shared" si="10"/>
        <v>No stipend</v>
      </c>
      <c r="AA46" t="str">
        <f t="shared" si="11"/>
        <v>intern for 1 month</v>
      </c>
    </row>
    <row r="47" spans="1:27" x14ac:dyDescent="0.25">
      <c r="A47" t="s">
        <v>94</v>
      </c>
      <c r="B47" t="s">
        <v>164</v>
      </c>
      <c r="C47" t="s">
        <v>95</v>
      </c>
      <c r="D47" t="s">
        <v>30</v>
      </c>
      <c r="E47">
        <v>9876543255</v>
      </c>
      <c r="F47" t="s">
        <v>49</v>
      </c>
      <c r="G47" t="s">
        <v>187</v>
      </c>
      <c r="H47" t="s">
        <v>26</v>
      </c>
      <c r="I47">
        <v>31</v>
      </c>
      <c r="J47">
        <v>31</v>
      </c>
      <c r="K47">
        <v>31</v>
      </c>
      <c r="L47" s="1">
        <f t="shared" si="6"/>
        <v>100</v>
      </c>
      <c r="M47" s="1">
        <v>4</v>
      </c>
      <c r="N47" t="s">
        <v>27</v>
      </c>
      <c r="O47">
        <v>97</v>
      </c>
      <c r="P47" t="s">
        <v>27</v>
      </c>
      <c r="Q47">
        <v>70</v>
      </c>
      <c r="R47" t="s">
        <v>27</v>
      </c>
      <c r="S47">
        <v>98</v>
      </c>
      <c r="T47" t="s">
        <v>27</v>
      </c>
      <c r="U47">
        <v>97</v>
      </c>
      <c r="V47">
        <f>COUNTIF(N47:P47:R47:T47,"Yes")</f>
        <v>4</v>
      </c>
      <c r="W47">
        <f t="shared" si="7"/>
        <v>100</v>
      </c>
      <c r="X47" s="1">
        <f t="shared" si="8"/>
        <v>90.5</v>
      </c>
      <c r="Y47" t="str">
        <f t="shared" si="9"/>
        <v>Outstanding</v>
      </c>
      <c r="Z47">
        <f t="shared" si="10"/>
        <v>15000</v>
      </c>
      <c r="AA47" t="str">
        <f t="shared" si="11"/>
        <v>Hiring</v>
      </c>
    </row>
    <row r="48" spans="1:27" x14ac:dyDescent="0.25">
      <c r="A48" t="s">
        <v>117</v>
      </c>
      <c r="B48" t="s">
        <v>165</v>
      </c>
      <c r="C48" t="s">
        <v>96</v>
      </c>
      <c r="D48" t="s">
        <v>33</v>
      </c>
      <c r="E48">
        <v>9876543256</v>
      </c>
      <c r="F48" t="s">
        <v>43</v>
      </c>
      <c r="G48" t="s">
        <v>188</v>
      </c>
      <c r="H48" t="s">
        <v>26</v>
      </c>
      <c r="I48">
        <v>31</v>
      </c>
      <c r="J48">
        <v>28</v>
      </c>
      <c r="K48">
        <v>27</v>
      </c>
      <c r="L48" s="1">
        <f t="shared" si="6"/>
        <v>88.709677419354833</v>
      </c>
      <c r="M48" s="1">
        <v>4</v>
      </c>
      <c r="N48" t="s">
        <v>27</v>
      </c>
      <c r="O48">
        <v>84</v>
      </c>
      <c r="P48" t="s">
        <v>27</v>
      </c>
      <c r="Q48">
        <v>75</v>
      </c>
      <c r="R48" t="s">
        <v>27</v>
      </c>
      <c r="S48">
        <v>86</v>
      </c>
      <c r="T48" t="s">
        <v>27</v>
      </c>
      <c r="U48">
        <v>83</v>
      </c>
      <c r="V48">
        <f>COUNTIF(N48:P48:R48:T48,"Yes")</f>
        <v>4</v>
      </c>
      <c r="W48">
        <f t="shared" si="7"/>
        <v>100</v>
      </c>
      <c r="X48" s="1">
        <f t="shared" si="8"/>
        <v>82</v>
      </c>
      <c r="Y48" t="str">
        <f t="shared" si="9"/>
        <v>Excellent</v>
      </c>
      <c r="Z48">
        <f t="shared" si="10"/>
        <v>15000</v>
      </c>
      <c r="AA48" t="str">
        <f t="shared" si="11"/>
        <v>Hiring</v>
      </c>
    </row>
    <row r="49" spans="1:27" x14ac:dyDescent="0.25">
      <c r="A49" t="s">
        <v>97</v>
      </c>
      <c r="B49" t="s">
        <v>166</v>
      </c>
      <c r="C49" t="s">
        <v>183</v>
      </c>
      <c r="D49" t="s">
        <v>30</v>
      </c>
      <c r="E49">
        <v>9876543257</v>
      </c>
      <c r="F49" t="s">
        <v>184</v>
      </c>
      <c r="G49" t="s">
        <v>189</v>
      </c>
      <c r="H49" t="s">
        <v>26</v>
      </c>
      <c r="I49">
        <v>31</v>
      </c>
      <c r="J49">
        <v>31</v>
      </c>
      <c r="K49">
        <v>30</v>
      </c>
      <c r="L49" s="1">
        <f t="shared" si="6"/>
        <v>98.387096774193552</v>
      </c>
      <c r="M49" s="1">
        <v>4</v>
      </c>
      <c r="N49" t="s">
        <v>27</v>
      </c>
      <c r="O49">
        <v>91</v>
      </c>
      <c r="P49" t="s">
        <v>27</v>
      </c>
      <c r="Q49">
        <v>70</v>
      </c>
      <c r="R49" t="s">
        <v>27</v>
      </c>
      <c r="S49">
        <v>92</v>
      </c>
      <c r="T49" t="s">
        <v>27</v>
      </c>
      <c r="U49">
        <v>90</v>
      </c>
      <c r="V49">
        <f>COUNTIF(N49:P49:R49:T49,"Yes")</f>
        <v>4</v>
      </c>
      <c r="W49">
        <f t="shared" si="7"/>
        <v>100</v>
      </c>
      <c r="X49" s="1">
        <f t="shared" si="8"/>
        <v>85.75</v>
      </c>
      <c r="Y49" t="str">
        <f t="shared" si="9"/>
        <v>Excellent</v>
      </c>
      <c r="Z49">
        <f t="shared" si="10"/>
        <v>15000</v>
      </c>
      <c r="AA49" t="str">
        <f t="shared" si="11"/>
        <v>Hiring</v>
      </c>
    </row>
    <row r="50" spans="1:27" x14ac:dyDescent="0.25">
      <c r="A50" t="s">
        <v>98</v>
      </c>
      <c r="B50" t="s">
        <v>167</v>
      </c>
      <c r="C50" t="s">
        <v>99</v>
      </c>
      <c r="D50" t="s">
        <v>33</v>
      </c>
      <c r="E50">
        <v>9876543258</v>
      </c>
      <c r="F50" t="s">
        <v>36</v>
      </c>
      <c r="G50" t="s">
        <v>187</v>
      </c>
      <c r="H50" t="s">
        <v>26</v>
      </c>
      <c r="I50">
        <v>31</v>
      </c>
      <c r="J50">
        <v>16</v>
      </c>
      <c r="K50">
        <v>14</v>
      </c>
      <c r="L50" s="1">
        <f t="shared" si="6"/>
        <v>48.387096774193552</v>
      </c>
      <c r="M50" s="1">
        <v>4</v>
      </c>
      <c r="N50" t="s">
        <v>34</v>
      </c>
      <c r="O50">
        <v>0</v>
      </c>
      <c r="P50" t="s">
        <v>34</v>
      </c>
      <c r="Q50">
        <v>0</v>
      </c>
      <c r="R50" t="s">
        <v>27</v>
      </c>
      <c r="S50">
        <v>48</v>
      </c>
      <c r="T50" t="s">
        <v>34</v>
      </c>
      <c r="U50">
        <v>0</v>
      </c>
      <c r="V50">
        <f>COUNTIF(N50:P50:R50:T50,"Yes")</f>
        <v>1</v>
      </c>
      <c r="W50">
        <f t="shared" si="7"/>
        <v>25</v>
      </c>
      <c r="X50" s="1">
        <f t="shared" si="8"/>
        <v>12</v>
      </c>
      <c r="Y50" t="str">
        <f t="shared" si="9"/>
        <v>Improvement</v>
      </c>
      <c r="Z50" t="str">
        <f t="shared" si="10"/>
        <v>No stipend</v>
      </c>
      <c r="AA50" t="str">
        <f t="shared" si="11"/>
        <v>intern for 1 month</v>
      </c>
    </row>
    <row r="51" spans="1:27" x14ac:dyDescent="0.25">
      <c r="A51" t="s">
        <v>118</v>
      </c>
      <c r="B51" t="s">
        <v>168</v>
      </c>
      <c r="C51" t="s">
        <v>100</v>
      </c>
      <c r="D51" t="s">
        <v>30</v>
      </c>
      <c r="E51">
        <v>9876543259</v>
      </c>
      <c r="F51" t="s">
        <v>38</v>
      </c>
      <c r="G51" t="s">
        <v>188</v>
      </c>
      <c r="H51" t="s">
        <v>26</v>
      </c>
      <c r="I51">
        <v>31</v>
      </c>
      <c r="J51">
        <v>29</v>
      </c>
      <c r="K51">
        <v>29</v>
      </c>
      <c r="L51" s="1">
        <f t="shared" si="6"/>
        <v>93.548387096774192</v>
      </c>
      <c r="M51" s="1">
        <v>4</v>
      </c>
      <c r="N51" t="s">
        <v>27</v>
      </c>
      <c r="O51">
        <v>88</v>
      </c>
      <c r="P51" t="s">
        <v>27</v>
      </c>
      <c r="Q51">
        <v>79</v>
      </c>
      <c r="R51" t="s">
        <v>27</v>
      </c>
      <c r="S51">
        <v>87</v>
      </c>
      <c r="T51" t="s">
        <v>27</v>
      </c>
      <c r="U51">
        <v>89</v>
      </c>
      <c r="V51">
        <f>COUNTIF(N51:P51:R51:T51,"Yes")</f>
        <v>4</v>
      </c>
      <c r="W51">
        <f t="shared" si="7"/>
        <v>100</v>
      </c>
      <c r="X51" s="1">
        <f t="shared" si="8"/>
        <v>85.75</v>
      </c>
      <c r="Y51" t="str">
        <f t="shared" si="9"/>
        <v>Excellent</v>
      </c>
      <c r="Z51">
        <f t="shared" si="10"/>
        <v>15000</v>
      </c>
      <c r="AA51" t="str">
        <f t="shared" si="11"/>
        <v>Hiring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Internship dataset uncleaned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LAPTOP</dc:creator>
  <cp:lastModifiedBy>HP LAPTOP</cp:lastModifiedBy>
  <dcterms:created xsi:type="dcterms:W3CDTF">2026-03-26T03:55:36Z</dcterms:created>
  <dcterms:modified xsi:type="dcterms:W3CDTF">2026-04-02T15:12:27Z</dcterms:modified>
</cp:coreProperties>
</file>