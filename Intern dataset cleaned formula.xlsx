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i31\Downloads\"/>
    </mc:Choice>
  </mc:AlternateContent>
  <xr:revisionPtr revIDLastSave="0" documentId="8_{9CB3F78C-27A1-4516-ABF2-405B9CB1B875}" xr6:coauthVersionLast="47" xr6:coauthVersionMax="47" xr10:uidLastSave="{00000000-0000-0000-0000-000000000000}"/>
  <bookViews>
    <workbookView xWindow="-120" yWindow="-120" windowWidth="20730" windowHeight="11040" xr2:uid="{46E0F297-B632-4D8B-95D2-43DCF8EFE074}"/>
  </bookViews>
  <sheets>
    <sheet name="Internship dataset uncleaned" sheetId="1" r:id="rId1"/>
  </sheets>
  <calcPr calcId="191029"/>
</workbook>
</file>

<file path=xl/calcChain.xml><?xml version="1.0" encoding="utf-8"?>
<calcChain xmlns="http://schemas.openxmlformats.org/spreadsheetml/2006/main">
  <c r="Z17" i="1" l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9" i="1"/>
  <c r="Z10" i="1"/>
  <c r="Z11" i="1"/>
  <c r="Z12" i="1"/>
  <c r="Z13" i="1"/>
  <c r="Z14" i="1"/>
  <c r="Z15" i="1"/>
  <c r="Z16" i="1"/>
  <c r="Z3" i="1"/>
  <c r="Z4" i="1"/>
  <c r="Z5" i="1"/>
  <c r="Z6" i="1"/>
  <c r="Z7" i="1"/>
  <c r="Z8" i="1"/>
  <c r="Z2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15" i="1"/>
  <c r="Y16" i="1"/>
  <c r="Y17" i="1"/>
  <c r="Y18" i="1"/>
  <c r="Y19" i="1"/>
  <c r="Y7" i="1"/>
  <c r="Y8" i="1"/>
  <c r="Y9" i="1"/>
  <c r="Y10" i="1"/>
  <c r="Y11" i="1"/>
  <c r="Y12" i="1"/>
  <c r="Y13" i="1"/>
  <c r="Y14" i="1"/>
  <c r="Y5" i="1"/>
  <c r="Y6" i="1"/>
  <c r="Y3" i="1"/>
  <c r="Y4" i="1"/>
  <c r="Y2" i="1"/>
  <c r="X3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" i="1"/>
  <c r="X6" i="1"/>
  <c r="X7" i="1"/>
  <c r="X8" i="1"/>
  <c r="X9" i="1"/>
  <c r="X10" i="1"/>
  <c r="X11" i="1"/>
  <c r="X12" i="1"/>
  <c r="X4" i="1"/>
  <c r="X2" i="1"/>
  <c r="W53" i="1"/>
  <c r="W54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2" i="1"/>
  <c r="V49" i="1"/>
  <c r="V50" i="1"/>
  <c r="V51" i="1"/>
  <c r="V52" i="1"/>
  <c r="V53" i="1"/>
  <c r="V54" i="1"/>
  <c r="V41" i="1"/>
  <c r="V42" i="1"/>
  <c r="V43" i="1"/>
  <c r="V44" i="1"/>
  <c r="V45" i="1"/>
  <c r="V46" i="1"/>
  <c r="V47" i="1"/>
  <c r="V48" i="1"/>
  <c r="V31" i="1"/>
  <c r="V32" i="1"/>
  <c r="V33" i="1"/>
  <c r="V34" i="1"/>
  <c r="V35" i="1"/>
  <c r="V36" i="1"/>
  <c r="V37" i="1"/>
  <c r="V38" i="1"/>
  <c r="V39" i="1"/>
  <c r="V40" i="1"/>
  <c r="V27" i="1"/>
  <c r="V28" i="1"/>
  <c r="V29" i="1"/>
  <c r="V30" i="1"/>
  <c r="V15" i="1"/>
  <c r="V16" i="1"/>
  <c r="V17" i="1"/>
  <c r="V18" i="1"/>
  <c r="V19" i="1"/>
  <c r="V20" i="1"/>
  <c r="V21" i="1"/>
  <c r="V22" i="1"/>
  <c r="V23" i="1"/>
  <c r="V24" i="1"/>
  <c r="V25" i="1"/>
  <c r="V26" i="1"/>
  <c r="V12" i="1"/>
  <c r="V13" i="1"/>
  <c r="V14" i="1"/>
  <c r="V6" i="1"/>
  <c r="V7" i="1"/>
  <c r="V8" i="1"/>
  <c r="V9" i="1"/>
  <c r="V10" i="1"/>
  <c r="V11" i="1"/>
  <c r="V3" i="1"/>
  <c r="V4" i="1"/>
  <c r="V5" i="1"/>
  <c r="V2" i="1"/>
  <c r="U54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2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3" i="1"/>
  <c r="K4" i="1"/>
  <c r="K5" i="1"/>
  <c r="K6" i="1"/>
  <c r="K7" i="1"/>
  <c r="K8" i="1"/>
  <c r="K9" i="1"/>
  <c r="K10" i="1"/>
  <c r="K2" i="1"/>
</calcChain>
</file>

<file path=xl/sharedStrings.xml><?xml version="1.0" encoding="utf-8"?>
<sst xmlns="http://schemas.openxmlformats.org/spreadsheetml/2006/main" count="556" uniqueCount="187">
  <si>
    <t>internid</t>
  </si>
  <si>
    <t>Name</t>
  </si>
  <si>
    <t>email id</t>
  </si>
  <si>
    <t>Gender</t>
  </si>
  <si>
    <t>Phone number</t>
  </si>
  <si>
    <t>Domain</t>
  </si>
  <si>
    <t>Date Range</t>
  </si>
  <si>
    <t>total days</t>
  </si>
  <si>
    <t>sod filled</t>
  </si>
  <si>
    <t>eod filled</t>
  </si>
  <si>
    <t>Attendance</t>
  </si>
  <si>
    <t>Task1_completed</t>
  </si>
  <si>
    <t>Task1 score</t>
  </si>
  <si>
    <t>Task2completed</t>
  </si>
  <si>
    <t>Task 2 Score</t>
  </si>
  <si>
    <t>Task3 completed</t>
  </si>
  <si>
    <t>Task 3 Score</t>
  </si>
  <si>
    <t>Task4 completed</t>
  </si>
  <si>
    <t>Task4 Score</t>
  </si>
  <si>
    <t>Count overall task</t>
  </si>
  <si>
    <t>Task completion</t>
  </si>
  <si>
    <t>performance Score</t>
  </si>
  <si>
    <t>performance status</t>
  </si>
  <si>
    <t>Stipend</t>
  </si>
  <si>
    <t>Hiring Recommendation</t>
  </si>
  <si>
    <t>INT001</t>
  </si>
  <si>
    <t>1/3/2026-1/4/2026</t>
  </si>
  <si>
    <t>Yes</t>
  </si>
  <si>
    <t>INT002</t>
  </si>
  <si>
    <t>ishita@example.com</t>
  </si>
  <si>
    <t>Female</t>
  </si>
  <si>
    <t>INT003</t>
  </si>
  <si>
    <t>rohan@example.com</t>
  </si>
  <si>
    <t>Male</t>
  </si>
  <si>
    <t>No</t>
  </si>
  <si>
    <t>priya@example.com</t>
  </si>
  <si>
    <t>Python</t>
  </si>
  <si>
    <t>INT005</t>
  </si>
  <si>
    <t>Java</t>
  </si>
  <si>
    <t>INT006</t>
  </si>
  <si>
    <t>sanya@example.com</t>
  </si>
  <si>
    <t>INT007</t>
  </si>
  <si>
    <t>vikram@example.com</t>
  </si>
  <si>
    <t>Web Dev</t>
  </si>
  <si>
    <t>INT008</t>
  </si>
  <si>
    <t>ananya@example.com</t>
  </si>
  <si>
    <t>INT009</t>
  </si>
  <si>
    <t>INT010</t>
  </si>
  <si>
    <t>arjun@example.com</t>
  </si>
  <si>
    <t>Data Science</t>
  </si>
  <si>
    <t>INT012</t>
  </si>
  <si>
    <t>sneha@example.com</t>
  </si>
  <si>
    <t>1/3/2026-1/4/2027</t>
  </si>
  <si>
    <t>INT013</t>
  </si>
  <si>
    <t>manish@example.com</t>
  </si>
  <si>
    <t>INT015</t>
  </si>
  <si>
    <t>varun@example.com</t>
  </si>
  <si>
    <t>INT016</t>
  </si>
  <si>
    <t>INT017</t>
  </si>
  <si>
    <t>sid@example.com</t>
  </si>
  <si>
    <t>INT018</t>
  </si>
  <si>
    <t>INT019</t>
  </si>
  <si>
    <t>ayush@example.com</t>
  </si>
  <si>
    <t>INT021</t>
  </si>
  <si>
    <t>ranbir@example.com</t>
  </si>
  <si>
    <t>INT022</t>
  </si>
  <si>
    <t>INT023</t>
  </si>
  <si>
    <t>sara@example.com</t>
  </si>
  <si>
    <t>INT025</t>
  </si>
  <si>
    <t>vicky@example.com</t>
  </si>
  <si>
    <t>katrina@example.com</t>
  </si>
  <si>
    <t>INT027</t>
  </si>
  <si>
    <t>hrithik@example.com</t>
  </si>
  <si>
    <t>kriti@example.com</t>
  </si>
  <si>
    <t>tiger@example.com</t>
  </si>
  <si>
    <t>INT030</t>
  </si>
  <si>
    <t>rashmika@example.com</t>
  </si>
  <si>
    <t>INT031</t>
  </si>
  <si>
    <t>vijay@example.com</t>
  </si>
  <si>
    <t>samantha@example.com</t>
  </si>
  <si>
    <t>INT033</t>
  </si>
  <si>
    <t>prabhas@example.com</t>
  </si>
  <si>
    <t>INT034</t>
  </si>
  <si>
    <t>nayan@example.com</t>
  </si>
  <si>
    <t>INT035</t>
  </si>
  <si>
    <t>allu@example.com</t>
  </si>
  <si>
    <t>INT036</t>
  </si>
  <si>
    <t>trisha@example.com</t>
  </si>
  <si>
    <t>INT038</t>
  </si>
  <si>
    <t>tam@example.com</t>
  </si>
  <si>
    <t>mahesh@example.com</t>
  </si>
  <si>
    <t>INT040</t>
  </si>
  <si>
    <t>yash@example.com</t>
  </si>
  <si>
    <t>nani@example.com</t>
  </si>
  <si>
    <t>dhanush@example.com</t>
  </si>
  <si>
    <t>INT046</t>
  </si>
  <si>
    <t>kajal@example.com</t>
  </si>
  <si>
    <t>surya@example.com</t>
  </si>
  <si>
    <t>INT048</t>
  </si>
  <si>
    <t>INT049</t>
  </si>
  <si>
    <t>dulquer@example.com</t>
  </si>
  <si>
    <t>anushka@example.com</t>
  </si>
  <si>
    <t>INT004</t>
  </si>
  <si>
    <t>INT011</t>
  </si>
  <si>
    <t>INT014</t>
  </si>
  <si>
    <t>INT020</t>
  </si>
  <si>
    <t>INT024</t>
  </si>
  <si>
    <t>INT026</t>
  </si>
  <si>
    <t>INT028</t>
  </si>
  <si>
    <t>INT029</t>
  </si>
  <si>
    <t>INT032</t>
  </si>
  <si>
    <t>INT037</t>
  </si>
  <si>
    <t>INT039</t>
  </si>
  <si>
    <t>INT041</t>
  </si>
  <si>
    <t>INT042</t>
  </si>
  <si>
    <t>INT043</t>
  </si>
  <si>
    <t>INT044</t>
  </si>
  <si>
    <t>INT045</t>
  </si>
  <si>
    <t>INT047</t>
  </si>
  <si>
    <t>INT050</t>
  </si>
  <si>
    <t>AaravSharma</t>
  </si>
  <si>
    <t>IshitaKapoor</t>
  </si>
  <si>
    <t>RohanMehta</t>
  </si>
  <si>
    <t>PriyaRai</t>
  </si>
  <si>
    <t>AmitVerma</t>
  </si>
  <si>
    <t>SanyaMalhotra</t>
  </si>
  <si>
    <t>VikramSingh</t>
  </si>
  <si>
    <t>AnanyaIyer</t>
  </si>
  <si>
    <t>RahulJain</t>
  </si>
  <si>
    <t>KavyaNair</t>
  </si>
  <si>
    <t>ArjunDas</t>
  </si>
  <si>
    <t>SnehaReddy</t>
  </si>
  <si>
    <t>ManishGoel</t>
  </si>
  <si>
    <t>PoojaHegde</t>
  </si>
  <si>
    <t>VarunDhawan</t>
  </si>
  <si>
    <t>DeepikaP.</t>
  </si>
  <si>
    <t>SidM.</t>
  </si>
  <si>
    <t>KiaraA.</t>
  </si>
  <si>
    <t>AyushK.</t>
  </si>
  <si>
    <t>TaraS.</t>
  </si>
  <si>
    <t>RanbirK.</t>
  </si>
  <si>
    <t>AliaB.</t>
  </si>
  <si>
    <t>KartikA.</t>
  </si>
  <si>
    <t>SaraK.</t>
  </si>
  <si>
    <t>VickyK.</t>
  </si>
  <si>
    <t>KatrinaK.</t>
  </si>
  <si>
    <t>HrithikR.</t>
  </si>
  <si>
    <t>KritiS.</t>
  </si>
  <si>
    <t>TigerS.</t>
  </si>
  <si>
    <t>RashmikaM.</t>
  </si>
  <si>
    <t>VijayD.</t>
  </si>
  <si>
    <t>SamanthaR.</t>
  </si>
  <si>
    <t>PrabhasR.</t>
  </si>
  <si>
    <t>NayantharaK.</t>
  </si>
  <si>
    <t>AlluA.</t>
  </si>
  <si>
    <t>TrishaK.</t>
  </si>
  <si>
    <t>RamC.</t>
  </si>
  <si>
    <t>TamannaahB.</t>
  </si>
  <si>
    <t>MaheshB.</t>
  </si>
  <si>
    <t>KeerthyS.</t>
  </si>
  <si>
    <t>YashG.</t>
  </si>
  <si>
    <t>RakulP.</t>
  </si>
  <si>
    <t>NaniK.</t>
  </si>
  <si>
    <t>SaiP.</t>
  </si>
  <si>
    <t>DhanushK.</t>
  </si>
  <si>
    <t>KajalA.</t>
  </si>
  <si>
    <t>SuryaS.</t>
  </si>
  <si>
    <t>ShrutiH.</t>
  </si>
  <si>
    <t>DulquerS.</t>
  </si>
  <si>
    <t>AnushkaS.</t>
  </si>
  <si>
    <t>aarav@example.com</t>
  </si>
  <si>
    <t>amit@example.com</t>
  </si>
  <si>
    <t>rahul@example.com</t>
  </si>
  <si>
    <t>kavya@example.com</t>
  </si>
  <si>
    <t>pooja@example.com</t>
  </si>
  <si>
    <t>deepika@example.com</t>
  </si>
  <si>
    <t>kiara@example.com</t>
  </si>
  <si>
    <t>tara@example.com</t>
  </si>
  <si>
    <t>alia@example.com</t>
  </si>
  <si>
    <t>kartik@example.com</t>
  </si>
  <si>
    <t>ram@example.com</t>
  </si>
  <si>
    <t>keerthy@example.com</t>
  </si>
  <si>
    <t>rakul@example.com</t>
  </si>
  <si>
    <t>sai@example.com</t>
  </si>
  <si>
    <t>shruti@example.com</t>
  </si>
  <si>
    <t>Ui/Ux</t>
  </si>
  <si>
    <t>Total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</si>
</sst>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81A1-9FDD-444F-8B75-0BDACD789526}">
  <dimension ref="A1:Z54"/>
  <sheetViews>
    <sheetView tabSelected="1" zoomScale="106" zoomScaleNormal="106" workbookViewId="0">
      <selection activeCell="K2" sqref="K2"/>
    </sheetView>
  </sheetViews>
  <sheetFormatPr defaultRowHeight="15" x14ac:dyDescent="0.25"/>
  <cols>
    <col min="1" max="1" width="10.85546875" customWidth="1"/>
    <col min="2" max="2" width="19.85546875" customWidth="1"/>
    <col min="3" max="3" width="24.7109375" customWidth="1"/>
    <col min="4" max="4" width="14.5703125" customWidth="1"/>
    <col min="5" max="5" width="17.85546875" customWidth="1"/>
    <col min="6" max="6" width="19.140625" customWidth="1"/>
    <col min="7" max="7" width="20.140625" customWidth="1"/>
    <col min="8" max="10" width="9.28515625" bestFit="1" customWidth="1"/>
    <col min="11" max="11" width="10.28515625" customWidth="1"/>
    <col min="12" max="12" width="11.140625" customWidth="1"/>
    <col min="13" max="13" width="19.85546875" customWidth="1"/>
    <col min="14" max="14" width="12.7109375" customWidth="1"/>
    <col min="15" max="15" width="17.7109375" customWidth="1"/>
    <col min="16" max="16" width="15.28515625" customWidth="1"/>
    <col min="17" max="17" width="17.28515625" customWidth="1"/>
    <col min="18" max="18" width="13.7109375" customWidth="1"/>
    <col min="19" max="19" width="16.5703125" customWidth="1"/>
    <col min="20" max="21" width="19.85546875" customWidth="1"/>
    <col min="22" max="22" width="15.7109375" customWidth="1"/>
    <col min="23" max="23" width="18.7109375" customWidth="1"/>
    <col min="24" max="24" width="18" customWidth="1"/>
    <col min="26" max="26" width="27" customWidth="1"/>
    <col min="27" max="27" width="14.42578125" customWidth="1"/>
  </cols>
  <sheetData>
    <row r="1" spans="1:2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186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</row>
    <row r="2" spans="1:26" x14ac:dyDescent="0.25">
      <c r="A2" t="s">
        <v>25</v>
      </c>
      <c r="B2" t="s">
        <v>120</v>
      </c>
      <c r="C2" t="s">
        <v>170</v>
      </c>
      <c r="D2" t="s">
        <v>33</v>
      </c>
      <c r="E2">
        <v>9876543210</v>
      </c>
      <c r="F2" t="s">
        <v>49</v>
      </c>
      <c r="G2" t="s">
        <v>26</v>
      </c>
      <c r="H2">
        <v>31</v>
      </c>
      <c r="I2">
        <v>31</v>
      </c>
      <c r="J2">
        <v>31</v>
      </c>
      <c r="K2" s="1">
        <f>((I2 + J2)/2)/H2*100</f>
        <v>100</v>
      </c>
      <c r="L2" s="1">
        <v>4</v>
      </c>
      <c r="M2" t="s">
        <v>27</v>
      </c>
      <c r="N2">
        <v>95</v>
      </c>
      <c r="O2" t="s">
        <v>27</v>
      </c>
      <c r="P2">
        <v>87</v>
      </c>
      <c r="Q2" t="s">
        <v>27</v>
      </c>
      <c r="R2">
        <v>85</v>
      </c>
      <c r="S2" t="s">
        <v>27</v>
      </c>
      <c r="T2">
        <v>94</v>
      </c>
      <c r="U2">
        <f>COUNTIF(M2:O2:Q2:S2,"Yes")</f>
        <v>4</v>
      </c>
      <c r="V2">
        <f>(U2/L2)*100</f>
        <v>100</v>
      </c>
      <c r="W2" s="1">
        <f>(N2+P2+R2+T2)/L2</f>
        <v>90.25</v>
      </c>
      <c r="X2" t="str">
        <f>IF(W2&gt;=90,"Outstanding", IF(W2&gt;=70,"Excellent", IF(W2&gt;=65,"Good", IF(W2&gt;=40,"Average","Improvement"))))</f>
        <v>Outstanding</v>
      </c>
      <c r="Y2">
        <f>IF(AND(W2&gt;=80,V2&gt;=80,K2&gt;=80),15000,
IF(AND(W2&gt;=50,V2&gt;=50,K2&gt;=50),10000,"No stipend"))</f>
        <v>15000</v>
      </c>
      <c r="Z2" t="str">
        <f>IF(Y2=15000,"Hiring",IF(Y2=10000,"intern for 6 month",IF(Y2="No stipend","intern for 1 month")))</f>
        <v>Hiring</v>
      </c>
    </row>
    <row r="3" spans="1:26" x14ac:dyDescent="0.25">
      <c r="A3" t="s">
        <v>28</v>
      </c>
      <c r="B3" t="s">
        <v>121</v>
      </c>
      <c r="C3" t="s">
        <v>29</v>
      </c>
      <c r="D3" t="s">
        <v>30</v>
      </c>
      <c r="E3">
        <v>9876543211</v>
      </c>
      <c r="F3" t="s">
        <v>43</v>
      </c>
      <c r="G3" t="s">
        <v>26</v>
      </c>
      <c r="H3">
        <v>31</v>
      </c>
      <c r="I3">
        <v>25</v>
      </c>
      <c r="J3">
        <v>24</v>
      </c>
      <c r="K3" s="1">
        <f t="shared" ref="K3:K54" si="0">((I3 + J3)/2)/H3*100</f>
        <v>79.032258064516128</v>
      </c>
      <c r="L3" s="1">
        <v>4</v>
      </c>
      <c r="M3" t="s">
        <v>27</v>
      </c>
      <c r="N3">
        <v>80</v>
      </c>
      <c r="O3" t="s">
        <v>27</v>
      </c>
      <c r="P3">
        <v>90</v>
      </c>
      <c r="Q3" t="s">
        <v>27</v>
      </c>
      <c r="R3">
        <v>85</v>
      </c>
      <c r="S3" t="s">
        <v>27</v>
      </c>
      <c r="T3">
        <v>82</v>
      </c>
      <c r="U3">
        <f>COUNTIF(M3:O3:Q3:S3,"Yes")</f>
        <v>4</v>
      </c>
      <c r="V3">
        <f t="shared" ref="V3:V54" si="1">(U3/L3)*100</f>
        <v>100</v>
      </c>
      <c r="W3" s="1">
        <f t="shared" ref="W3:W54" si="2">(N3+P3+R3+T3)/L3</f>
        <v>84.25</v>
      </c>
      <c r="X3" t="str">
        <f>IF(W3&gt;=90,"Outstanding", IF(W3&gt;=70,"Excellent", IF(W3&gt;=65,"Good", IF(W3&gt;=40,"Average","Improvement"))))</f>
        <v>Excellent</v>
      </c>
      <c r="Y3">
        <f t="shared" ref="Y3:Y54" si="3">IF(AND(W3&gt;=80,V3&gt;=80,K3&gt;=80),15000,
IF(AND(W3&gt;=50,V3&gt;=50,K3&gt;=50),10000,"No stipend"))</f>
        <v>10000</v>
      </c>
      <c r="Z3" t="str">
        <f t="shared" ref="Z3:Z54" si="4">IF(Y3=15000,"Hiring",IF(Y3=10000,"intern for 6 month",IF(Y3="No stipend","intern for 1 month")))</f>
        <v>intern for 6 month</v>
      </c>
    </row>
    <row r="4" spans="1:26" x14ac:dyDescent="0.25">
      <c r="A4" t="s">
        <v>31</v>
      </c>
      <c r="B4" t="s">
        <v>122</v>
      </c>
      <c r="C4" t="s">
        <v>32</v>
      </c>
      <c r="D4" t="s">
        <v>33</v>
      </c>
      <c r="E4">
        <v>9876543212</v>
      </c>
      <c r="F4" t="s">
        <v>185</v>
      </c>
      <c r="G4" t="s">
        <v>26</v>
      </c>
      <c r="H4">
        <v>31</v>
      </c>
      <c r="I4">
        <v>10</v>
      </c>
      <c r="J4">
        <v>12</v>
      </c>
      <c r="K4" s="1">
        <f t="shared" si="0"/>
        <v>35.483870967741936</v>
      </c>
      <c r="L4" s="1">
        <v>4</v>
      </c>
      <c r="M4" t="s">
        <v>34</v>
      </c>
      <c r="N4">
        <v>0</v>
      </c>
      <c r="O4" t="s">
        <v>34</v>
      </c>
      <c r="P4">
        <v>0</v>
      </c>
      <c r="Q4" t="s">
        <v>27</v>
      </c>
      <c r="R4">
        <v>40</v>
      </c>
      <c r="S4" t="s">
        <v>34</v>
      </c>
      <c r="T4">
        <v>0</v>
      </c>
      <c r="U4">
        <f>COUNTIF(M4:O4:Q4:S4,"Yes")</f>
        <v>1</v>
      </c>
      <c r="V4">
        <f t="shared" si="1"/>
        <v>25</v>
      </c>
      <c r="W4" s="1">
        <f t="shared" si="2"/>
        <v>10</v>
      </c>
      <c r="X4" t="str">
        <f t="shared" ref="X4:X54" si="5">IF(W4&gt;=90,"Outstanding", IF(W4&gt;=70,"Excellent", IF(W4&gt;=65,"Good", IF(W4&gt;=40,"Average","Improvement"))))</f>
        <v>Improvement</v>
      </c>
      <c r="Y4" t="str">
        <f t="shared" si="3"/>
        <v>No stipend</v>
      </c>
      <c r="Z4" t="str">
        <f t="shared" si="4"/>
        <v>intern for 1 month</v>
      </c>
    </row>
    <row r="5" spans="1:26" x14ac:dyDescent="0.25">
      <c r="A5" t="s">
        <v>102</v>
      </c>
      <c r="B5" t="s">
        <v>123</v>
      </c>
      <c r="C5" t="s">
        <v>35</v>
      </c>
      <c r="D5" t="s">
        <v>30</v>
      </c>
      <c r="E5">
        <v>9876543213</v>
      </c>
      <c r="F5" t="s">
        <v>36</v>
      </c>
      <c r="G5" t="s">
        <v>26</v>
      </c>
      <c r="H5">
        <v>31</v>
      </c>
      <c r="I5">
        <v>31</v>
      </c>
      <c r="J5">
        <v>30</v>
      </c>
      <c r="K5" s="1">
        <f t="shared" si="0"/>
        <v>98.387096774193552</v>
      </c>
      <c r="L5" s="1">
        <v>4</v>
      </c>
      <c r="M5" t="s">
        <v>27</v>
      </c>
      <c r="N5">
        <v>92</v>
      </c>
      <c r="O5" t="s">
        <v>27</v>
      </c>
      <c r="P5">
        <v>85</v>
      </c>
      <c r="Q5" t="s">
        <v>27</v>
      </c>
      <c r="R5">
        <v>90</v>
      </c>
      <c r="S5" t="s">
        <v>27</v>
      </c>
      <c r="T5">
        <v>95</v>
      </c>
      <c r="U5">
        <f>COUNTIF(M5:O5:Q5:S5,"Yes")</f>
        <v>4</v>
      </c>
      <c r="V5">
        <f t="shared" si="1"/>
        <v>100</v>
      </c>
      <c r="W5" s="1">
        <f t="shared" si="2"/>
        <v>90.5</v>
      </c>
      <c r="X5" t="str">
        <f t="shared" si="5"/>
        <v>Outstanding</v>
      </c>
      <c r="Y5">
        <f>IF(AND(W5&gt;=80,V5&gt;=80,K5&gt;=80),15000,
IF(AND(W5&gt;=50,V5&gt;=50,K5&gt;=50),10000,"No stipend"))</f>
        <v>15000</v>
      </c>
      <c r="Z5" t="str">
        <f t="shared" si="4"/>
        <v>Hiring</v>
      </c>
    </row>
    <row r="6" spans="1:26" x14ac:dyDescent="0.25">
      <c r="A6" t="s">
        <v>37</v>
      </c>
      <c r="B6" t="s">
        <v>124</v>
      </c>
      <c r="C6" t="s">
        <v>171</v>
      </c>
      <c r="D6" t="s">
        <v>33</v>
      </c>
      <c r="E6">
        <v>9876543214</v>
      </c>
      <c r="F6" t="s">
        <v>38</v>
      </c>
      <c r="G6" t="s">
        <v>26</v>
      </c>
      <c r="H6">
        <v>31</v>
      </c>
      <c r="I6">
        <v>22</v>
      </c>
      <c r="J6">
        <v>20</v>
      </c>
      <c r="K6" s="1">
        <f t="shared" si="0"/>
        <v>67.741935483870961</v>
      </c>
      <c r="L6" s="1">
        <v>4</v>
      </c>
      <c r="M6" t="s">
        <v>27</v>
      </c>
      <c r="N6">
        <v>70</v>
      </c>
      <c r="O6" t="s">
        <v>27</v>
      </c>
      <c r="P6">
        <v>82</v>
      </c>
      <c r="Q6" t="s">
        <v>34</v>
      </c>
      <c r="R6">
        <v>0</v>
      </c>
      <c r="S6" t="s">
        <v>27</v>
      </c>
      <c r="T6">
        <v>65</v>
      </c>
      <c r="U6">
        <f>COUNTIF(M6:O6:Q6:S6,"Yes")</f>
        <v>3</v>
      </c>
      <c r="V6">
        <f t="shared" si="1"/>
        <v>75</v>
      </c>
      <c r="W6" s="1">
        <f t="shared" si="2"/>
        <v>54.25</v>
      </c>
      <c r="X6" t="str">
        <f t="shared" si="5"/>
        <v>Average</v>
      </c>
      <c r="Y6">
        <f t="shared" si="3"/>
        <v>10000</v>
      </c>
      <c r="Z6" t="str">
        <f t="shared" si="4"/>
        <v>intern for 6 month</v>
      </c>
    </row>
    <row r="7" spans="1:26" x14ac:dyDescent="0.25">
      <c r="A7" t="s">
        <v>39</v>
      </c>
      <c r="B7" t="s">
        <v>125</v>
      </c>
      <c r="C7" t="s">
        <v>40</v>
      </c>
      <c r="D7" t="s">
        <v>30</v>
      </c>
      <c r="E7">
        <v>9876543215</v>
      </c>
      <c r="F7" t="s">
        <v>49</v>
      </c>
      <c r="G7" t="s">
        <v>26</v>
      </c>
      <c r="H7">
        <v>31</v>
      </c>
      <c r="I7">
        <v>31</v>
      </c>
      <c r="J7">
        <v>31</v>
      </c>
      <c r="K7" s="1">
        <f t="shared" si="0"/>
        <v>100</v>
      </c>
      <c r="L7" s="1">
        <v>4</v>
      </c>
      <c r="M7" t="s">
        <v>27</v>
      </c>
      <c r="N7">
        <v>98</v>
      </c>
      <c r="O7" t="s">
        <v>27</v>
      </c>
      <c r="P7">
        <v>83</v>
      </c>
      <c r="Q7" t="s">
        <v>27</v>
      </c>
      <c r="R7">
        <v>97</v>
      </c>
      <c r="S7" t="s">
        <v>27</v>
      </c>
      <c r="T7">
        <v>99</v>
      </c>
      <c r="U7">
        <f>COUNTIF(M7:O7:Q7:S7,"Yes")</f>
        <v>4</v>
      </c>
      <c r="V7">
        <f t="shared" si="1"/>
        <v>100</v>
      </c>
      <c r="W7" s="1">
        <f t="shared" si="2"/>
        <v>94.25</v>
      </c>
      <c r="X7" t="str">
        <f t="shared" si="5"/>
        <v>Outstanding</v>
      </c>
      <c r="Y7">
        <f t="shared" si="3"/>
        <v>15000</v>
      </c>
      <c r="Z7" t="str">
        <f t="shared" si="4"/>
        <v>Hiring</v>
      </c>
    </row>
    <row r="8" spans="1:26" x14ac:dyDescent="0.25">
      <c r="A8" t="s">
        <v>41</v>
      </c>
      <c r="B8" t="s">
        <v>126</v>
      </c>
      <c r="C8" t="s">
        <v>42</v>
      </c>
      <c r="D8" t="s">
        <v>33</v>
      </c>
      <c r="E8">
        <v>9876543216</v>
      </c>
      <c r="F8" t="s">
        <v>43</v>
      </c>
      <c r="G8" t="s">
        <v>26</v>
      </c>
      <c r="H8">
        <v>31</v>
      </c>
      <c r="I8">
        <v>15</v>
      </c>
      <c r="J8">
        <v>14</v>
      </c>
      <c r="K8" s="1">
        <f t="shared" si="0"/>
        <v>46.774193548387096</v>
      </c>
      <c r="L8" s="1">
        <v>4</v>
      </c>
      <c r="M8" t="s">
        <v>34</v>
      </c>
      <c r="N8">
        <v>0</v>
      </c>
      <c r="O8" t="s">
        <v>27</v>
      </c>
      <c r="P8">
        <v>86</v>
      </c>
      <c r="Q8" t="s">
        <v>34</v>
      </c>
      <c r="R8">
        <v>0</v>
      </c>
      <c r="S8" t="s">
        <v>34</v>
      </c>
      <c r="T8">
        <v>0</v>
      </c>
      <c r="U8">
        <f>COUNTIF(M8:O8:Q8:S8,"Yes")</f>
        <v>1</v>
      </c>
      <c r="V8">
        <f t="shared" si="1"/>
        <v>25</v>
      </c>
      <c r="W8" s="1">
        <f t="shared" si="2"/>
        <v>21.5</v>
      </c>
      <c r="X8" t="str">
        <f t="shared" si="5"/>
        <v>Improvement</v>
      </c>
      <c r="Y8" t="str">
        <f t="shared" si="3"/>
        <v>No stipend</v>
      </c>
      <c r="Z8" t="str">
        <f t="shared" si="4"/>
        <v>intern for 1 month</v>
      </c>
    </row>
    <row r="9" spans="1:26" x14ac:dyDescent="0.25">
      <c r="A9" t="s">
        <v>44</v>
      </c>
      <c r="B9" t="s">
        <v>127</v>
      </c>
      <c r="C9" t="s">
        <v>45</v>
      </c>
      <c r="D9" t="s">
        <v>30</v>
      </c>
      <c r="E9">
        <v>9876543217</v>
      </c>
      <c r="F9" t="s">
        <v>185</v>
      </c>
      <c r="G9" t="s">
        <v>26</v>
      </c>
      <c r="H9">
        <v>31</v>
      </c>
      <c r="I9">
        <v>28</v>
      </c>
      <c r="J9">
        <v>29</v>
      </c>
      <c r="K9" s="1">
        <f t="shared" si="0"/>
        <v>91.935483870967744</v>
      </c>
      <c r="L9" s="1">
        <v>4</v>
      </c>
      <c r="M9" t="s">
        <v>27</v>
      </c>
      <c r="N9">
        <v>88</v>
      </c>
      <c r="O9" t="s">
        <v>27</v>
      </c>
      <c r="P9">
        <v>81</v>
      </c>
      <c r="Q9" t="s">
        <v>27</v>
      </c>
      <c r="R9">
        <v>85</v>
      </c>
      <c r="S9" t="s">
        <v>27</v>
      </c>
      <c r="T9">
        <v>90</v>
      </c>
      <c r="U9">
        <f>COUNTIF(M9:O9:Q9:S9,"Yes")</f>
        <v>4</v>
      </c>
      <c r="V9">
        <f t="shared" si="1"/>
        <v>100</v>
      </c>
      <c r="W9" s="1">
        <f t="shared" si="2"/>
        <v>86</v>
      </c>
      <c r="X9" t="str">
        <f t="shared" si="5"/>
        <v>Excellent</v>
      </c>
      <c r="Y9">
        <f t="shared" si="3"/>
        <v>15000</v>
      </c>
      <c r="Z9" t="str">
        <f t="shared" si="4"/>
        <v>Hiring</v>
      </c>
    </row>
    <row r="10" spans="1:26" x14ac:dyDescent="0.25">
      <c r="A10" t="s">
        <v>46</v>
      </c>
      <c r="B10" t="s">
        <v>128</v>
      </c>
      <c r="C10" t="s">
        <v>172</v>
      </c>
      <c r="D10" t="s">
        <v>33</v>
      </c>
      <c r="E10">
        <v>9876543218</v>
      </c>
      <c r="F10" t="s">
        <v>36</v>
      </c>
      <c r="G10" t="s">
        <v>26</v>
      </c>
      <c r="H10">
        <v>31</v>
      </c>
      <c r="I10">
        <v>31</v>
      </c>
      <c r="J10">
        <v>31</v>
      </c>
      <c r="K10" s="1">
        <f t="shared" si="0"/>
        <v>100</v>
      </c>
      <c r="L10" s="1">
        <v>4</v>
      </c>
      <c r="M10" t="s">
        <v>27</v>
      </c>
      <c r="N10">
        <v>94</v>
      </c>
      <c r="O10" t="s">
        <v>27</v>
      </c>
      <c r="P10">
        <v>82</v>
      </c>
      <c r="Q10" t="s">
        <v>27</v>
      </c>
      <c r="R10">
        <v>96</v>
      </c>
      <c r="S10" t="s">
        <v>27</v>
      </c>
      <c r="T10">
        <v>92</v>
      </c>
      <c r="U10">
        <f>COUNTIF(M10:O10:Q10:S10,"Yes")</f>
        <v>4</v>
      </c>
      <c r="V10">
        <f t="shared" si="1"/>
        <v>100</v>
      </c>
      <c r="W10" s="1">
        <f t="shared" si="2"/>
        <v>91</v>
      </c>
      <c r="X10" t="str">
        <f t="shared" si="5"/>
        <v>Outstanding</v>
      </c>
      <c r="Y10">
        <f t="shared" si="3"/>
        <v>15000</v>
      </c>
      <c r="Z10" t="str">
        <f t="shared" si="4"/>
        <v>Hiring</v>
      </c>
    </row>
    <row r="11" spans="1:26" x14ac:dyDescent="0.25">
      <c r="A11" t="s">
        <v>47</v>
      </c>
      <c r="B11" t="s">
        <v>129</v>
      </c>
      <c r="C11" t="s">
        <v>173</v>
      </c>
      <c r="D11" t="s">
        <v>30</v>
      </c>
      <c r="E11">
        <v>9876543219</v>
      </c>
      <c r="F11" t="s">
        <v>38</v>
      </c>
      <c r="G11" t="s">
        <v>26</v>
      </c>
      <c r="H11">
        <v>31</v>
      </c>
      <c r="I11">
        <v>24</v>
      </c>
      <c r="J11">
        <v>24</v>
      </c>
      <c r="K11" s="1">
        <f t="shared" si="0"/>
        <v>77.41935483870968</v>
      </c>
      <c r="L11" s="1">
        <v>4</v>
      </c>
      <c r="M11" t="s">
        <v>27</v>
      </c>
      <c r="N11">
        <v>75</v>
      </c>
      <c r="O11" t="s">
        <v>27</v>
      </c>
      <c r="P11">
        <v>85</v>
      </c>
      <c r="Q11" t="s">
        <v>27</v>
      </c>
      <c r="R11">
        <v>70</v>
      </c>
      <c r="S11" t="s">
        <v>27</v>
      </c>
      <c r="T11">
        <v>78</v>
      </c>
      <c r="U11">
        <f>COUNTIF(M11:O11:Q11:S11,"Yes")</f>
        <v>4</v>
      </c>
      <c r="V11">
        <f t="shared" si="1"/>
        <v>100</v>
      </c>
      <c r="W11" s="1">
        <f t="shared" si="2"/>
        <v>77</v>
      </c>
      <c r="X11" t="str">
        <f t="shared" si="5"/>
        <v>Excellent</v>
      </c>
      <c r="Y11">
        <f t="shared" si="3"/>
        <v>10000</v>
      </c>
      <c r="Z11" t="str">
        <f t="shared" si="4"/>
        <v>intern for 6 month</v>
      </c>
    </row>
    <row r="12" spans="1:26" x14ac:dyDescent="0.25">
      <c r="A12" t="s">
        <v>103</v>
      </c>
      <c r="B12" t="s">
        <v>130</v>
      </c>
      <c r="C12" t="s">
        <v>48</v>
      </c>
      <c r="D12" t="s">
        <v>33</v>
      </c>
      <c r="E12">
        <v>9876543220</v>
      </c>
      <c r="F12" t="s">
        <v>49</v>
      </c>
      <c r="G12" t="s">
        <v>26</v>
      </c>
      <c r="H12">
        <v>31</v>
      </c>
      <c r="I12">
        <v>30</v>
      </c>
      <c r="J12">
        <v>30</v>
      </c>
      <c r="K12" s="1">
        <f t="shared" si="0"/>
        <v>96.774193548387103</v>
      </c>
      <c r="L12" s="1">
        <v>4</v>
      </c>
      <c r="M12" t="s">
        <v>27</v>
      </c>
      <c r="N12">
        <v>91</v>
      </c>
      <c r="O12" t="s">
        <v>27</v>
      </c>
      <c r="P12">
        <v>87</v>
      </c>
      <c r="Q12" t="s">
        <v>27</v>
      </c>
      <c r="R12">
        <v>93</v>
      </c>
      <c r="S12" t="s">
        <v>27</v>
      </c>
      <c r="T12">
        <v>92</v>
      </c>
      <c r="U12">
        <f>COUNTIF(M12:O12:Q12:S12,"Yes")</f>
        <v>4</v>
      </c>
      <c r="V12">
        <f>(U12/L12)*100</f>
        <v>100</v>
      </c>
      <c r="W12" s="1">
        <f t="shared" si="2"/>
        <v>90.75</v>
      </c>
      <c r="X12" t="str">
        <f t="shared" si="5"/>
        <v>Outstanding</v>
      </c>
      <c r="Y12">
        <f t="shared" si="3"/>
        <v>15000</v>
      </c>
      <c r="Z12" t="str">
        <f t="shared" si="4"/>
        <v>Hiring</v>
      </c>
    </row>
    <row r="13" spans="1:26" x14ac:dyDescent="0.25">
      <c r="A13" t="s">
        <v>50</v>
      </c>
      <c r="B13" t="s">
        <v>131</v>
      </c>
      <c r="C13" t="s">
        <v>51</v>
      </c>
      <c r="D13" t="s">
        <v>30</v>
      </c>
      <c r="E13">
        <v>9876543221</v>
      </c>
      <c r="F13" t="s">
        <v>43</v>
      </c>
      <c r="G13" t="s">
        <v>26</v>
      </c>
      <c r="H13">
        <v>31</v>
      </c>
      <c r="I13">
        <v>12</v>
      </c>
      <c r="J13">
        <v>10</v>
      </c>
      <c r="K13" s="1">
        <f t="shared" si="0"/>
        <v>35.483870967741936</v>
      </c>
      <c r="L13" s="1">
        <v>4</v>
      </c>
      <c r="M13" t="s">
        <v>34</v>
      </c>
      <c r="N13">
        <v>0</v>
      </c>
      <c r="O13" t="s">
        <v>34</v>
      </c>
      <c r="P13">
        <v>0</v>
      </c>
      <c r="Q13" t="s">
        <v>34</v>
      </c>
      <c r="R13">
        <v>0</v>
      </c>
      <c r="S13" t="s">
        <v>34</v>
      </c>
      <c r="T13">
        <v>0</v>
      </c>
      <c r="U13">
        <f>COUNTIF(M13:O13:Q13:S13,"Yes")</f>
        <v>0</v>
      </c>
      <c r="V13">
        <f t="shared" si="1"/>
        <v>0</v>
      </c>
      <c r="W13" s="1">
        <f t="shared" si="2"/>
        <v>0</v>
      </c>
      <c r="X13" t="str">
        <f t="shared" si="5"/>
        <v>Improvement</v>
      </c>
      <c r="Y13" t="str">
        <f t="shared" si="3"/>
        <v>No stipend</v>
      </c>
      <c r="Z13" t="str">
        <f t="shared" si="4"/>
        <v>intern for 1 month</v>
      </c>
    </row>
    <row r="14" spans="1:26" x14ac:dyDescent="0.25">
      <c r="A14" t="s">
        <v>50</v>
      </c>
      <c r="B14" t="s">
        <v>131</v>
      </c>
      <c r="C14" t="s">
        <v>51</v>
      </c>
      <c r="D14" t="s">
        <v>30</v>
      </c>
      <c r="E14">
        <v>9876543222</v>
      </c>
      <c r="F14" t="s">
        <v>43</v>
      </c>
      <c r="G14" t="s">
        <v>52</v>
      </c>
      <c r="H14">
        <v>31</v>
      </c>
      <c r="I14">
        <v>12</v>
      </c>
      <c r="J14">
        <v>10</v>
      </c>
      <c r="K14" s="1">
        <f t="shared" si="0"/>
        <v>35.483870967741936</v>
      </c>
      <c r="L14" s="1">
        <v>4</v>
      </c>
      <c r="M14" t="s">
        <v>34</v>
      </c>
      <c r="N14">
        <v>0</v>
      </c>
      <c r="O14" t="s">
        <v>34</v>
      </c>
      <c r="P14">
        <v>0</v>
      </c>
      <c r="Q14" t="s">
        <v>34</v>
      </c>
      <c r="R14">
        <v>0</v>
      </c>
      <c r="S14" t="s">
        <v>34</v>
      </c>
      <c r="T14">
        <v>0</v>
      </c>
      <c r="U14">
        <f>COUNTIF(M14:O14:Q14:S14,"Yes")</f>
        <v>0</v>
      </c>
      <c r="V14">
        <f t="shared" si="1"/>
        <v>0</v>
      </c>
      <c r="W14" s="1">
        <f t="shared" si="2"/>
        <v>0</v>
      </c>
      <c r="X14" t="str">
        <f t="shared" si="5"/>
        <v>Improvement</v>
      </c>
      <c r="Y14" t="str">
        <f t="shared" si="3"/>
        <v>No stipend</v>
      </c>
      <c r="Z14" t="str">
        <f t="shared" si="4"/>
        <v>intern for 1 month</v>
      </c>
    </row>
    <row r="15" spans="1:26" x14ac:dyDescent="0.25">
      <c r="A15" t="s">
        <v>53</v>
      </c>
      <c r="B15" t="s">
        <v>132</v>
      </c>
      <c r="C15" t="s">
        <v>54</v>
      </c>
      <c r="D15" t="s">
        <v>33</v>
      </c>
      <c r="E15">
        <v>9876543222</v>
      </c>
      <c r="F15" t="s">
        <v>185</v>
      </c>
      <c r="G15" t="s">
        <v>26</v>
      </c>
      <c r="H15">
        <v>31</v>
      </c>
      <c r="I15">
        <v>26</v>
      </c>
      <c r="J15">
        <v>27</v>
      </c>
      <c r="K15" s="1">
        <f t="shared" si="0"/>
        <v>85.483870967741936</v>
      </c>
      <c r="L15" s="1">
        <v>4</v>
      </c>
      <c r="M15" t="s">
        <v>27</v>
      </c>
      <c r="N15">
        <v>82</v>
      </c>
      <c r="O15" t="s">
        <v>27</v>
      </c>
      <c r="P15">
        <v>86</v>
      </c>
      <c r="Q15" t="s">
        <v>27</v>
      </c>
      <c r="R15">
        <v>80</v>
      </c>
      <c r="S15" t="s">
        <v>27</v>
      </c>
      <c r="T15">
        <v>84</v>
      </c>
      <c r="U15">
        <f>COUNTIF(M15:O15:Q15:S15,"Yes")</f>
        <v>4</v>
      </c>
      <c r="V15">
        <f>(U15/L15)*100</f>
        <v>100</v>
      </c>
      <c r="W15" s="1">
        <f t="shared" si="2"/>
        <v>83</v>
      </c>
      <c r="X15" t="str">
        <f t="shared" si="5"/>
        <v>Excellent</v>
      </c>
      <c r="Y15">
        <f>IF(AND(W15&gt;=80,V15&gt;=80,K15&gt;=80),15000,
IF(AND(W15&gt;=50,V15&gt;=50,K15&gt;=50),10000,"No stipend"))</f>
        <v>15000</v>
      </c>
      <c r="Z15" t="str">
        <f t="shared" si="4"/>
        <v>Hiring</v>
      </c>
    </row>
    <row r="16" spans="1:26" x14ac:dyDescent="0.25">
      <c r="A16" t="s">
        <v>104</v>
      </c>
      <c r="B16" t="s">
        <v>133</v>
      </c>
      <c r="C16" t="s">
        <v>174</v>
      </c>
      <c r="D16" t="s">
        <v>30</v>
      </c>
      <c r="E16">
        <v>9876543223</v>
      </c>
      <c r="F16" t="s">
        <v>36</v>
      </c>
      <c r="G16" t="s">
        <v>26</v>
      </c>
      <c r="H16">
        <v>31</v>
      </c>
      <c r="I16">
        <v>31</v>
      </c>
      <c r="J16">
        <v>31</v>
      </c>
      <c r="K16" s="1">
        <f t="shared" si="0"/>
        <v>100</v>
      </c>
      <c r="L16" s="1">
        <v>4</v>
      </c>
      <c r="M16" t="s">
        <v>27</v>
      </c>
      <c r="N16">
        <v>96</v>
      </c>
      <c r="O16" t="s">
        <v>27</v>
      </c>
      <c r="P16">
        <v>86</v>
      </c>
      <c r="Q16" t="s">
        <v>27</v>
      </c>
      <c r="R16">
        <v>95</v>
      </c>
      <c r="S16" t="s">
        <v>27</v>
      </c>
      <c r="T16">
        <v>97</v>
      </c>
      <c r="U16">
        <f>COUNTIF(M16:O16:Q16:S16,"Yes")</f>
        <v>4</v>
      </c>
      <c r="V16">
        <f t="shared" si="1"/>
        <v>100</v>
      </c>
      <c r="W16" s="1">
        <f t="shared" si="2"/>
        <v>93.5</v>
      </c>
      <c r="X16" t="str">
        <f t="shared" si="5"/>
        <v>Outstanding</v>
      </c>
      <c r="Y16">
        <f t="shared" si="3"/>
        <v>15000</v>
      </c>
      <c r="Z16" t="str">
        <f t="shared" si="4"/>
        <v>Hiring</v>
      </c>
    </row>
    <row r="17" spans="1:26" x14ac:dyDescent="0.25">
      <c r="A17" t="s">
        <v>55</v>
      </c>
      <c r="B17" t="s">
        <v>134</v>
      </c>
      <c r="C17" t="s">
        <v>56</v>
      </c>
      <c r="D17" t="s">
        <v>33</v>
      </c>
      <c r="E17">
        <v>9876543224</v>
      </c>
      <c r="F17" t="s">
        <v>38</v>
      </c>
      <c r="G17" t="s">
        <v>26</v>
      </c>
      <c r="H17">
        <v>31</v>
      </c>
      <c r="I17">
        <v>20</v>
      </c>
      <c r="J17">
        <v>18</v>
      </c>
      <c r="K17" s="1">
        <f t="shared" si="0"/>
        <v>61.29032258064516</v>
      </c>
      <c r="L17" s="1">
        <v>4</v>
      </c>
      <c r="M17" t="s">
        <v>27</v>
      </c>
      <c r="N17">
        <v>65</v>
      </c>
      <c r="O17" t="s">
        <v>34</v>
      </c>
      <c r="P17">
        <v>90</v>
      </c>
      <c r="Q17" t="s">
        <v>27</v>
      </c>
      <c r="R17">
        <v>60</v>
      </c>
      <c r="S17" t="s">
        <v>27</v>
      </c>
      <c r="T17">
        <v>55</v>
      </c>
      <c r="U17">
        <f>COUNTIF(M17:O17:Q17:S17,"Yes")</f>
        <v>3</v>
      </c>
      <c r="V17">
        <f t="shared" si="1"/>
        <v>75</v>
      </c>
      <c r="W17" s="1">
        <f t="shared" si="2"/>
        <v>67.5</v>
      </c>
      <c r="X17" t="str">
        <f t="shared" si="5"/>
        <v>Good</v>
      </c>
      <c r="Y17">
        <f t="shared" si="3"/>
        <v>10000</v>
      </c>
      <c r="Z17" t="str">
        <f t="shared" si="4"/>
        <v>intern for 6 month</v>
      </c>
    </row>
    <row r="18" spans="1:26" x14ac:dyDescent="0.25">
      <c r="A18" t="s">
        <v>57</v>
      </c>
      <c r="B18" t="s">
        <v>135</v>
      </c>
      <c r="C18" t="s">
        <v>175</v>
      </c>
      <c r="D18" t="s">
        <v>30</v>
      </c>
      <c r="E18">
        <v>9876543225</v>
      </c>
      <c r="F18" t="s">
        <v>49</v>
      </c>
      <c r="G18" t="s">
        <v>26</v>
      </c>
      <c r="H18">
        <v>31</v>
      </c>
      <c r="I18">
        <v>31</v>
      </c>
      <c r="J18">
        <v>31</v>
      </c>
      <c r="K18" s="1">
        <f t="shared" si="0"/>
        <v>100</v>
      </c>
      <c r="L18" s="1">
        <v>4</v>
      </c>
      <c r="M18" t="s">
        <v>27</v>
      </c>
      <c r="N18">
        <v>99</v>
      </c>
      <c r="O18" t="s">
        <v>27</v>
      </c>
      <c r="P18">
        <v>95</v>
      </c>
      <c r="Q18" t="s">
        <v>27</v>
      </c>
      <c r="R18">
        <v>98</v>
      </c>
      <c r="S18" t="s">
        <v>27</v>
      </c>
      <c r="T18">
        <v>100</v>
      </c>
      <c r="U18">
        <f>COUNTIF(M18:O18:Q18:S18,"Yes")</f>
        <v>4</v>
      </c>
      <c r="V18">
        <f t="shared" si="1"/>
        <v>100</v>
      </c>
      <c r="W18" s="1">
        <f t="shared" si="2"/>
        <v>98</v>
      </c>
      <c r="X18" t="str">
        <f t="shared" si="5"/>
        <v>Outstanding</v>
      </c>
      <c r="Y18">
        <f>IF(AND(W18&gt;=80,V18&gt;=80,K18&gt;=80),15000,
IF(AND(W18&gt;=50,V18&gt;=50,K18&gt;=50),10000,"No stipend"))</f>
        <v>15000</v>
      </c>
      <c r="Z18" t="str">
        <f t="shared" si="4"/>
        <v>Hiring</v>
      </c>
    </row>
    <row r="19" spans="1:26" x14ac:dyDescent="0.25">
      <c r="A19" t="s">
        <v>58</v>
      </c>
      <c r="B19" t="s">
        <v>136</v>
      </c>
      <c r="C19" t="s">
        <v>59</v>
      </c>
      <c r="D19" t="s">
        <v>33</v>
      </c>
      <c r="E19">
        <v>9876543226</v>
      </c>
      <c r="F19" t="s">
        <v>43</v>
      </c>
      <c r="G19" t="s">
        <v>26</v>
      </c>
      <c r="H19">
        <v>31</v>
      </c>
      <c r="I19">
        <v>28</v>
      </c>
      <c r="J19">
        <v>28</v>
      </c>
      <c r="K19" s="1">
        <f t="shared" si="0"/>
        <v>90.322580645161281</v>
      </c>
      <c r="L19" s="1">
        <v>4</v>
      </c>
      <c r="M19" t="s">
        <v>27</v>
      </c>
      <c r="N19">
        <v>87</v>
      </c>
      <c r="O19" t="s">
        <v>27</v>
      </c>
      <c r="P19">
        <v>82</v>
      </c>
      <c r="Q19" t="s">
        <v>27</v>
      </c>
      <c r="R19">
        <v>89</v>
      </c>
      <c r="S19" t="s">
        <v>27</v>
      </c>
      <c r="T19">
        <v>86</v>
      </c>
      <c r="U19">
        <f>COUNTIF(M19:O19:Q19:S19,"Yes")</f>
        <v>4</v>
      </c>
      <c r="V19">
        <f t="shared" si="1"/>
        <v>100</v>
      </c>
      <c r="W19" s="1">
        <f t="shared" si="2"/>
        <v>86</v>
      </c>
      <c r="X19" t="str">
        <f t="shared" si="5"/>
        <v>Excellent</v>
      </c>
      <c r="Y19">
        <f t="shared" si="3"/>
        <v>15000</v>
      </c>
      <c r="Z19" t="str">
        <f t="shared" si="4"/>
        <v>Hiring</v>
      </c>
    </row>
    <row r="20" spans="1:26" x14ac:dyDescent="0.25">
      <c r="A20" t="s">
        <v>60</v>
      </c>
      <c r="B20" t="s">
        <v>137</v>
      </c>
      <c r="C20" t="s">
        <v>176</v>
      </c>
      <c r="D20" t="s">
        <v>30</v>
      </c>
      <c r="E20">
        <v>9876543227</v>
      </c>
      <c r="F20" t="s">
        <v>185</v>
      </c>
      <c r="G20" t="s">
        <v>26</v>
      </c>
      <c r="H20">
        <v>31</v>
      </c>
      <c r="I20">
        <v>14</v>
      </c>
      <c r="J20">
        <v>12</v>
      </c>
      <c r="K20" s="1">
        <f t="shared" si="0"/>
        <v>41.935483870967744</v>
      </c>
      <c r="L20" s="1">
        <v>4</v>
      </c>
      <c r="M20" t="s">
        <v>34</v>
      </c>
      <c r="N20">
        <v>0</v>
      </c>
      <c r="O20" t="s">
        <v>34</v>
      </c>
      <c r="P20">
        <v>75</v>
      </c>
      <c r="Q20" t="s">
        <v>27</v>
      </c>
      <c r="R20">
        <v>50</v>
      </c>
      <c r="S20" t="s">
        <v>34</v>
      </c>
      <c r="T20">
        <v>0</v>
      </c>
      <c r="U20">
        <f>COUNTIF(M20:O20:Q20:S20,"Yes")</f>
        <v>1</v>
      </c>
      <c r="V20">
        <f t="shared" si="1"/>
        <v>25</v>
      </c>
      <c r="W20" s="1">
        <f t="shared" si="2"/>
        <v>31.25</v>
      </c>
      <c r="X20" t="str">
        <f t="shared" si="5"/>
        <v>Improvement</v>
      </c>
      <c r="Y20" t="str">
        <f>IF(AND(W20&gt;=80,V20&gt;=80,K20&gt;=80),15000,
IF(AND(W20&gt;=50,V20&gt;=50,K20&gt;=50),10000,"No stipend"))</f>
        <v>No stipend</v>
      </c>
      <c r="Z20" t="str">
        <f t="shared" si="4"/>
        <v>intern for 1 month</v>
      </c>
    </row>
    <row r="21" spans="1:26" x14ac:dyDescent="0.25">
      <c r="A21" t="s">
        <v>61</v>
      </c>
      <c r="B21" t="s">
        <v>138</v>
      </c>
      <c r="C21" t="s">
        <v>62</v>
      </c>
      <c r="D21" t="s">
        <v>33</v>
      </c>
      <c r="E21">
        <v>9876543228</v>
      </c>
      <c r="F21" t="s">
        <v>36</v>
      </c>
      <c r="G21" t="s">
        <v>26</v>
      </c>
      <c r="H21">
        <v>31</v>
      </c>
      <c r="I21">
        <v>31</v>
      </c>
      <c r="J21">
        <v>30</v>
      </c>
      <c r="K21" s="1">
        <f t="shared" si="0"/>
        <v>98.387096774193552</v>
      </c>
      <c r="L21" s="1">
        <v>4</v>
      </c>
      <c r="M21" t="s">
        <v>27</v>
      </c>
      <c r="N21">
        <v>93</v>
      </c>
      <c r="O21" t="s">
        <v>27</v>
      </c>
      <c r="P21">
        <v>65</v>
      </c>
      <c r="Q21" t="s">
        <v>27</v>
      </c>
      <c r="R21">
        <v>91</v>
      </c>
      <c r="S21" t="s">
        <v>27</v>
      </c>
      <c r="T21">
        <v>94</v>
      </c>
      <c r="U21">
        <f>COUNTIF(M21:O21:Q21:S21,"Yes")</f>
        <v>4</v>
      </c>
      <c r="V21">
        <f t="shared" si="1"/>
        <v>100</v>
      </c>
      <c r="W21" s="1">
        <f t="shared" si="2"/>
        <v>85.75</v>
      </c>
      <c r="X21" t="str">
        <f t="shared" si="5"/>
        <v>Excellent</v>
      </c>
      <c r="Y21">
        <f t="shared" si="3"/>
        <v>15000</v>
      </c>
      <c r="Z21" t="str">
        <f t="shared" si="4"/>
        <v>Hiring</v>
      </c>
    </row>
    <row r="22" spans="1:26" x14ac:dyDescent="0.25">
      <c r="A22" t="s">
        <v>105</v>
      </c>
      <c r="B22" t="s">
        <v>139</v>
      </c>
      <c r="C22" t="s">
        <v>177</v>
      </c>
      <c r="D22" t="s">
        <v>30</v>
      </c>
      <c r="E22">
        <v>9876543229</v>
      </c>
      <c r="F22" t="s">
        <v>38</v>
      </c>
      <c r="G22" t="s">
        <v>26</v>
      </c>
      <c r="H22">
        <v>31</v>
      </c>
      <c r="I22">
        <v>25</v>
      </c>
      <c r="J22">
        <v>25</v>
      </c>
      <c r="K22" s="1">
        <f t="shared" si="0"/>
        <v>80.645161290322577</v>
      </c>
      <c r="L22" s="1">
        <v>4</v>
      </c>
      <c r="M22" t="s">
        <v>27</v>
      </c>
      <c r="N22">
        <v>78</v>
      </c>
      <c r="O22" t="s">
        <v>27</v>
      </c>
      <c r="P22">
        <v>50</v>
      </c>
      <c r="Q22" t="s">
        <v>27</v>
      </c>
      <c r="R22">
        <v>75</v>
      </c>
      <c r="S22" t="s">
        <v>27</v>
      </c>
      <c r="T22">
        <v>80</v>
      </c>
      <c r="U22">
        <f>COUNTIF(M22:O22:Q22:S22,"Yes")</f>
        <v>4</v>
      </c>
      <c r="V22">
        <f t="shared" si="1"/>
        <v>100</v>
      </c>
      <c r="W22" s="1">
        <f t="shared" si="2"/>
        <v>70.75</v>
      </c>
      <c r="X22" t="str">
        <f t="shared" si="5"/>
        <v>Excellent</v>
      </c>
      <c r="Y22">
        <f t="shared" si="3"/>
        <v>10000</v>
      </c>
      <c r="Z22" t="str">
        <f t="shared" si="4"/>
        <v>intern for 6 month</v>
      </c>
    </row>
    <row r="23" spans="1:26" x14ac:dyDescent="0.25">
      <c r="A23" t="s">
        <v>63</v>
      </c>
      <c r="B23" t="s">
        <v>140</v>
      </c>
      <c r="C23" t="s">
        <v>64</v>
      </c>
      <c r="D23" t="s">
        <v>33</v>
      </c>
      <c r="E23">
        <v>9876543230</v>
      </c>
      <c r="F23" t="s">
        <v>49</v>
      </c>
      <c r="G23" t="s">
        <v>26</v>
      </c>
      <c r="H23">
        <v>31</v>
      </c>
      <c r="I23">
        <v>31</v>
      </c>
      <c r="J23">
        <v>31</v>
      </c>
      <c r="K23" s="1">
        <f t="shared" si="0"/>
        <v>100</v>
      </c>
      <c r="L23" s="1">
        <v>4</v>
      </c>
      <c r="M23" t="s">
        <v>27</v>
      </c>
      <c r="N23">
        <v>95</v>
      </c>
      <c r="O23" t="s">
        <v>27</v>
      </c>
      <c r="P23">
        <v>85</v>
      </c>
      <c r="Q23" t="s">
        <v>27</v>
      </c>
      <c r="R23">
        <v>94</v>
      </c>
      <c r="S23" t="s">
        <v>27</v>
      </c>
      <c r="T23">
        <v>95</v>
      </c>
      <c r="U23">
        <f>COUNTIF(M23:O23:Q23:S23,"Yes")</f>
        <v>4</v>
      </c>
      <c r="V23">
        <f t="shared" si="1"/>
        <v>100</v>
      </c>
      <c r="W23" s="1">
        <f t="shared" si="2"/>
        <v>92.25</v>
      </c>
      <c r="X23" t="str">
        <f t="shared" si="5"/>
        <v>Outstanding</v>
      </c>
      <c r="Y23">
        <f>IF(AND(W23&gt;=80,V23&gt;=80,K23&gt;=80),15000,
IF(AND(W23&gt;=50,V23&gt;=50,K23&gt;=50),10000,"No stipend"))</f>
        <v>15000</v>
      </c>
      <c r="Z23" t="str">
        <f t="shared" si="4"/>
        <v>Hiring</v>
      </c>
    </row>
    <row r="24" spans="1:26" x14ac:dyDescent="0.25">
      <c r="A24" t="s">
        <v>65</v>
      </c>
      <c r="B24" t="s">
        <v>141</v>
      </c>
      <c r="C24" t="s">
        <v>178</v>
      </c>
      <c r="D24" t="s">
        <v>30</v>
      </c>
      <c r="E24">
        <v>9876543231</v>
      </c>
      <c r="F24" t="s">
        <v>43</v>
      </c>
      <c r="G24" t="s">
        <v>26</v>
      </c>
      <c r="H24">
        <v>31</v>
      </c>
      <c r="I24">
        <v>31</v>
      </c>
      <c r="J24">
        <v>31</v>
      </c>
      <c r="K24" s="1">
        <f t="shared" si="0"/>
        <v>100</v>
      </c>
      <c r="L24" s="1">
        <v>4</v>
      </c>
      <c r="M24" t="s">
        <v>27</v>
      </c>
      <c r="N24">
        <v>91</v>
      </c>
      <c r="O24" t="s">
        <v>27</v>
      </c>
      <c r="P24">
        <v>77</v>
      </c>
      <c r="Q24" t="s">
        <v>27</v>
      </c>
      <c r="R24">
        <v>92</v>
      </c>
      <c r="S24" t="s">
        <v>27</v>
      </c>
      <c r="T24">
        <v>90</v>
      </c>
      <c r="U24">
        <f>COUNTIF(M24:O24:Q24:S24,"Yes")</f>
        <v>4</v>
      </c>
      <c r="V24">
        <f t="shared" si="1"/>
        <v>100</v>
      </c>
      <c r="W24" s="1">
        <f t="shared" si="2"/>
        <v>87.5</v>
      </c>
      <c r="X24" t="str">
        <f t="shared" si="5"/>
        <v>Excellent</v>
      </c>
      <c r="Y24">
        <f t="shared" si="3"/>
        <v>15000</v>
      </c>
      <c r="Z24" t="str">
        <f t="shared" si="4"/>
        <v>Hiring</v>
      </c>
    </row>
    <row r="25" spans="1:26" x14ac:dyDescent="0.25">
      <c r="A25" t="s">
        <v>66</v>
      </c>
      <c r="B25" t="s">
        <v>142</v>
      </c>
      <c r="C25" t="s">
        <v>179</v>
      </c>
      <c r="D25" t="s">
        <v>33</v>
      </c>
      <c r="E25">
        <v>9876543232</v>
      </c>
      <c r="F25" t="s">
        <v>185</v>
      </c>
      <c r="G25" t="s">
        <v>26</v>
      </c>
      <c r="H25">
        <v>31</v>
      </c>
      <c r="I25">
        <v>18</v>
      </c>
      <c r="J25">
        <v>17</v>
      </c>
      <c r="K25" s="1">
        <f t="shared" si="0"/>
        <v>56.451612903225815</v>
      </c>
      <c r="L25" s="1">
        <v>4</v>
      </c>
      <c r="M25" t="s">
        <v>27</v>
      </c>
      <c r="N25">
        <v>55</v>
      </c>
      <c r="O25" t="s">
        <v>34</v>
      </c>
      <c r="P25">
        <v>0</v>
      </c>
      <c r="Q25" t="s">
        <v>27</v>
      </c>
      <c r="R25">
        <v>60</v>
      </c>
      <c r="S25" t="s">
        <v>34</v>
      </c>
      <c r="T25">
        <v>0</v>
      </c>
      <c r="U25">
        <f>COUNTIF(M25:O25:Q25:S25,"Yes")</f>
        <v>2</v>
      </c>
      <c r="V25">
        <f>(U25/L25)*100</f>
        <v>50</v>
      </c>
      <c r="W25" s="1">
        <f t="shared" si="2"/>
        <v>28.75</v>
      </c>
      <c r="X25" t="str">
        <f t="shared" si="5"/>
        <v>Improvement</v>
      </c>
      <c r="Y25" t="str">
        <f t="shared" si="3"/>
        <v>No stipend</v>
      </c>
      <c r="Z25" t="str">
        <f t="shared" si="4"/>
        <v>intern for 1 month</v>
      </c>
    </row>
    <row r="26" spans="1:26" x14ac:dyDescent="0.25">
      <c r="A26" t="s">
        <v>106</v>
      </c>
      <c r="B26" t="s">
        <v>143</v>
      </c>
      <c r="C26" t="s">
        <v>67</v>
      </c>
      <c r="D26" t="s">
        <v>30</v>
      </c>
      <c r="E26">
        <v>9876543233</v>
      </c>
      <c r="F26" t="s">
        <v>36</v>
      </c>
      <c r="G26" t="s">
        <v>26</v>
      </c>
      <c r="H26">
        <v>31</v>
      </c>
      <c r="I26">
        <v>30</v>
      </c>
      <c r="J26">
        <v>31</v>
      </c>
      <c r="K26" s="1">
        <f t="shared" si="0"/>
        <v>98.387096774193552</v>
      </c>
      <c r="L26" s="1">
        <v>4</v>
      </c>
      <c r="M26" t="s">
        <v>27</v>
      </c>
      <c r="N26">
        <v>89</v>
      </c>
      <c r="O26" t="s">
        <v>27</v>
      </c>
      <c r="P26">
        <v>66</v>
      </c>
      <c r="Q26" t="s">
        <v>27</v>
      </c>
      <c r="R26">
        <v>88</v>
      </c>
      <c r="S26" t="s">
        <v>27</v>
      </c>
      <c r="T26">
        <v>89</v>
      </c>
      <c r="U26">
        <f>COUNTIF(M26:O26:Q26:S26,"Yes")</f>
        <v>4</v>
      </c>
      <c r="V26">
        <f t="shared" si="1"/>
        <v>100</v>
      </c>
      <c r="W26" s="1">
        <f t="shared" si="2"/>
        <v>83</v>
      </c>
      <c r="X26" t="str">
        <f t="shared" si="5"/>
        <v>Excellent</v>
      </c>
      <c r="Y26">
        <f t="shared" si="3"/>
        <v>15000</v>
      </c>
      <c r="Z26" t="str">
        <f t="shared" si="4"/>
        <v>Hiring</v>
      </c>
    </row>
    <row r="27" spans="1:26" x14ac:dyDescent="0.25">
      <c r="A27" t="s">
        <v>68</v>
      </c>
      <c r="B27" t="s">
        <v>144</v>
      </c>
      <c r="C27" t="s">
        <v>69</v>
      </c>
      <c r="D27" t="s">
        <v>33</v>
      </c>
      <c r="E27">
        <v>9876543234</v>
      </c>
      <c r="F27" t="s">
        <v>38</v>
      </c>
      <c r="G27" t="s">
        <v>26</v>
      </c>
      <c r="H27">
        <v>31</v>
      </c>
      <c r="I27">
        <v>10</v>
      </c>
      <c r="J27">
        <v>10</v>
      </c>
      <c r="K27" s="1">
        <f t="shared" si="0"/>
        <v>32.258064516129032</v>
      </c>
      <c r="L27" s="1">
        <v>4</v>
      </c>
      <c r="M27" t="s">
        <v>34</v>
      </c>
      <c r="N27">
        <v>0</v>
      </c>
      <c r="O27" t="s">
        <v>34</v>
      </c>
      <c r="P27">
        <v>0</v>
      </c>
      <c r="Q27" t="s">
        <v>34</v>
      </c>
      <c r="R27">
        <v>0</v>
      </c>
      <c r="S27" t="s">
        <v>34</v>
      </c>
      <c r="T27">
        <v>0</v>
      </c>
      <c r="U27">
        <f>COUNTIF(M27:O27:Q27:S27,"Yes")</f>
        <v>0</v>
      </c>
      <c r="V27">
        <f>(U27/L27)*100</f>
        <v>0</v>
      </c>
      <c r="W27" s="1">
        <f t="shared" si="2"/>
        <v>0</v>
      </c>
      <c r="X27" t="str">
        <f t="shared" si="5"/>
        <v>Improvement</v>
      </c>
      <c r="Y27" t="str">
        <f t="shared" si="3"/>
        <v>No stipend</v>
      </c>
      <c r="Z27" t="str">
        <f t="shared" si="4"/>
        <v>intern for 1 month</v>
      </c>
    </row>
    <row r="28" spans="1:26" x14ac:dyDescent="0.25">
      <c r="A28" t="s">
        <v>68</v>
      </c>
      <c r="B28" t="s">
        <v>144</v>
      </c>
      <c r="C28" t="s">
        <v>69</v>
      </c>
      <c r="D28" t="s">
        <v>33</v>
      </c>
      <c r="E28">
        <v>9876543235</v>
      </c>
      <c r="F28" t="s">
        <v>38</v>
      </c>
      <c r="G28" t="s">
        <v>52</v>
      </c>
      <c r="H28">
        <v>31</v>
      </c>
      <c r="I28">
        <v>10</v>
      </c>
      <c r="J28">
        <v>10</v>
      </c>
      <c r="K28" s="1">
        <f t="shared" si="0"/>
        <v>32.258064516129032</v>
      </c>
      <c r="L28" s="1">
        <v>4</v>
      </c>
      <c r="M28" t="s">
        <v>34</v>
      </c>
      <c r="N28">
        <v>0</v>
      </c>
      <c r="O28" t="s">
        <v>34</v>
      </c>
      <c r="P28">
        <v>0</v>
      </c>
      <c r="Q28" t="s">
        <v>34</v>
      </c>
      <c r="R28">
        <v>0</v>
      </c>
      <c r="S28" t="s">
        <v>34</v>
      </c>
      <c r="T28">
        <v>0</v>
      </c>
      <c r="U28">
        <f>COUNTIF(M28:O28:Q28:S28,"Yes")</f>
        <v>0</v>
      </c>
      <c r="V28">
        <f t="shared" si="1"/>
        <v>0</v>
      </c>
      <c r="W28" s="1">
        <f t="shared" si="2"/>
        <v>0</v>
      </c>
      <c r="X28" t="str">
        <f t="shared" si="5"/>
        <v>Improvement</v>
      </c>
      <c r="Y28" t="str">
        <f t="shared" si="3"/>
        <v>No stipend</v>
      </c>
      <c r="Z28" t="str">
        <f t="shared" si="4"/>
        <v>intern for 1 month</v>
      </c>
    </row>
    <row r="29" spans="1:26" x14ac:dyDescent="0.25">
      <c r="A29" t="s">
        <v>107</v>
      </c>
      <c r="B29" t="s">
        <v>145</v>
      </c>
      <c r="C29" t="s">
        <v>70</v>
      </c>
      <c r="D29" t="s">
        <v>30</v>
      </c>
      <c r="E29">
        <v>9876543235</v>
      </c>
      <c r="F29" t="s">
        <v>49</v>
      </c>
      <c r="G29" t="s">
        <v>26</v>
      </c>
      <c r="H29">
        <v>31</v>
      </c>
      <c r="I29">
        <v>31</v>
      </c>
      <c r="J29">
        <v>31</v>
      </c>
      <c r="K29" s="1">
        <f t="shared" si="0"/>
        <v>100</v>
      </c>
      <c r="L29" s="1">
        <v>4</v>
      </c>
      <c r="M29" t="s">
        <v>27</v>
      </c>
      <c r="N29">
        <v>97</v>
      </c>
      <c r="O29" t="s">
        <v>27</v>
      </c>
      <c r="P29">
        <v>50</v>
      </c>
      <c r="Q29" t="s">
        <v>27</v>
      </c>
      <c r="R29">
        <v>96</v>
      </c>
      <c r="S29" t="s">
        <v>27</v>
      </c>
      <c r="T29">
        <v>98</v>
      </c>
      <c r="U29">
        <f>COUNTIF(M29:O29:Q29:S29,"Yes")</f>
        <v>4</v>
      </c>
      <c r="V29">
        <f t="shared" si="1"/>
        <v>100</v>
      </c>
      <c r="W29" s="1">
        <f t="shared" si="2"/>
        <v>85.25</v>
      </c>
      <c r="X29" t="str">
        <f t="shared" si="5"/>
        <v>Excellent</v>
      </c>
      <c r="Y29">
        <f t="shared" si="3"/>
        <v>15000</v>
      </c>
      <c r="Z29" t="str">
        <f t="shared" si="4"/>
        <v>Hiring</v>
      </c>
    </row>
    <row r="30" spans="1:26" x14ac:dyDescent="0.25">
      <c r="A30" t="s">
        <v>71</v>
      </c>
      <c r="B30" t="s">
        <v>146</v>
      </c>
      <c r="C30" t="s">
        <v>72</v>
      </c>
      <c r="D30" t="s">
        <v>33</v>
      </c>
      <c r="E30">
        <v>9876543236</v>
      </c>
      <c r="F30" t="s">
        <v>43</v>
      </c>
      <c r="G30" t="s">
        <v>26</v>
      </c>
      <c r="H30">
        <v>31</v>
      </c>
      <c r="I30">
        <v>29</v>
      </c>
      <c r="J30">
        <v>29</v>
      </c>
      <c r="K30" s="1">
        <f t="shared" si="0"/>
        <v>93.548387096774192</v>
      </c>
      <c r="L30" s="1">
        <v>4</v>
      </c>
      <c r="M30" t="s">
        <v>27</v>
      </c>
      <c r="N30">
        <v>86</v>
      </c>
      <c r="O30" t="s">
        <v>27</v>
      </c>
      <c r="P30">
        <v>89</v>
      </c>
      <c r="Q30" t="s">
        <v>27</v>
      </c>
      <c r="R30">
        <v>84</v>
      </c>
      <c r="S30" t="s">
        <v>27</v>
      </c>
      <c r="T30">
        <v>87</v>
      </c>
      <c r="U30">
        <f>COUNTIF(M30:O30:Q30:S30,"Yes")</f>
        <v>4</v>
      </c>
      <c r="V30">
        <f t="shared" si="1"/>
        <v>100</v>
      </c>
      <c r="W30" s="1">
        <f t="shared" si="2"/>
        <v>86.5</v>
      </c>
      <c r="X30" t="str">
        <f t="shared" si="5"/>
        <v>Excellent</v>
      </c>
      <c r="Y30">
        <f t="shared" si="3"/>
        <v>15000</v>
      </c>
      <c r="Z30" t="str">
        <f t="shared" si="4"/>
        <v>Hiring</v>
      </c>
    </row>
    <row r="31" spans="1:26" x14ac:dyDescent="0.25">
      <c r="A31" t="s">
        <v>108</v>
      </c>
      <c r="B31" t="s">
        <v>147</v>
      </c>
      <c r="C31" t="s">
        <v>73</v>
      </c>
      <c r="D31" t="s">
        <v>30</v>
      </c>
      <c r="E31">
        <v>9876543237</v>
      </c>
      <c r="F31" t="s">
        <v>185</v>
      </c>
      <c r="G31" t="s">
        <v>26</v>
      </c>
      <c r="H31">
        <v>31</v>
      </c>
      <c r="I31">
        <v>31</v>
      </c>
      <c r="J31">
        <v>31</v>
      </c>
      <c r="K31" s="1">
        <f t="shared" si="0"/>
        <v>100</v>
      </c>
      <c r="L31" s="1">
        <v>4</v>
      </c>
      <c r="M31" t="s">
        <v>27</v>
      </c>
      <c r="N31">
        <v>92</v>
      </c>
      <c r="O31" t="s">
        <v>27</v>
      </c>
      <c r="P31">
        <v>90</v>
      </c>
      <c r="Q31" t="s">
        <v>27</v>
      </c>
      <c r="R31">
        <v>93</v>
      </c>
      <c r="S31" t="s">
        <v>27</v>
      </c>
      <c r="T31">
        <v>91</v>
      </c>
      <c r="U31">
        <f>COUNTIF(M31:O31:Q31:S31,"Yes")</f>
        <v>4</v>
      </c>
      <c r="V31">
        <f>(U31/L31)*100</f>
        <v>100</v>
      </c>
      <c r="W31" s="1">
        <f t="shared" si="2"/>
        <v>91.5</v>
      </c>
      <c r="X31" t="str">
        <f t="shared" si="5"/>
        <v>Outstanding</v>
      </c>
      <c r="Y31">
        <f t="shared" si="3"/>
        <v>15000</v>
      </c>
      <c r="Z31" t="str">
        <f t="shared" si="4"/>
        <v>Hiring</v>
      </c>
    </row>
    <row r="32" spans="1:26" x14ac:dyDescent="0.25">
      <c r="A32" t="s">
        <v>109</v>
      </c>
      <c r="B32" t="s">
        <v>148</v>
      </c>
      <c r="C32" t="s">
        <v>74</v>
      </c>
      <c r="D32" t="s">
        <v>33</v>
      </c>
      <c r="E32">
        <v>9876543238</v>
      </c>
      <c r="F32" t="s">
        <v>36</v>
      </c>
      <c r="G32" t="s">
        <v>26</v>
      </c>
      <c r="H32">
        <v>31</v>
      </c>
      <c r="I32">
        <v>15</v>
      </c>
      <c r="J32">
        <v>12</v>
      </c>
      <c r="K32" s="1">
        <f t="shared" si="0"/>
        <v>43.548387096774192</v>
      </c>
      <c r="L32" s="1">
        <v>4</v>
      </c>
      <c r="M32" t="s">
        <v>34</v>
      </c>
      <c r="N32">
        <v>0</v>
      </c>
      <c r="O32" t="s">
        <v>34</v>
      </c>
      <c r="P32">
        <v>0</v>
      </c>
      <c r="Q32" t="s">
        <v>27</v>
      </c>
      <c r="R32">
        <v>45</v>
      </c>
      <c r="S32" t="s">
        <v>34</v>
      </c>
      <c r="T32">
        <v>0</v>
      </c>
      <c r="U32">
        <f>COUNTIF(M32:O32:Q32:S32,"Yes")</f>
        <v>1</v>
      </c>
      <c r="V32">
        <f t="shared" si="1"/>
        <v>25</v>
      </c>
      <c r="W32" s="1">
        <f t="shared" si="2"/>
        <v>11.25</v>
      </c>
      <c r="X32" t="str">
        <f t="shared" si="5"/>
        <v>Improvement</v>
      </c>
      <c r="Y32" t="str">
        <f t="shared" si="3"/>
        <v>No stipend</v>
      </c>
      <c r="Z32" t="str">
        <f t="shared" si="4"/>
        <v>intern for 1 month</v>
      </c>
    </row>
    <row r="33" spans="1:26" x14ac:dyDescent="0.25">
      <c r="A33" t="s">
        <v>75</v>
      </c>
      <c r="B33" t="s">
        <v>149</v>
      </c>
      <c r="C33" t="s">
        <v>76</v>
      </c>
      <c r="D33" t="s">
        <v>30</v>
      </c>
      <c r="E33">
        <v>9876543239</v>
      </c>
      <c r="F33" t="s">
        <v>38</v>
      </c>
      <c r="G33" t="s">
        <v>26</v>
      </c>
      <c r="H33">
        <v>31</v>
      </c>
      <c r="I33">
        <v>27</v>
      </c>
      <c r="J33">
        <v>27</v>
      </c>
      <c r="K33" s="1">
        <f t="shared" si="0"/>
        <v>87.096774193548384</v>
      </c>
      <c r="L33" s="1">
        <v>4</v>
      </c>
      <c r="M33" t="s">
        <v>27</v>
      </c>
      <c r="N33">
        <v>82</v>
      </c>
      <c r="O33" t="s">
        <v>27</v>
      </c>
      <c r="P33">
        <v>75</v>
      </c>
      <c r="Q33" t="s">
        <v>27</v>
      </c>
      <c r="R33">
        <v>80</v>
      </c>
      <c r="S33" t="s">
        <v>27</v>
      </c>
      <c r="T33">
        <v>81</v>
      </c>
      <c r="U33">
        <f>COUNTIF(M33:O33:Q33:S33,"Yes")</f>
        <v>4</v>
      </c>
      <c r="V33">
        <f t="shared" si="1"/>
        <v>100</v>
      </c>
      <c r="W33" s="1">
        <f t="shared" si="2"/>
        <v>79.5</v>
      </c>
      <c r="X33" t="str">
        <f t="shared" si="5"/>
        <v>Excellent</v>
      </c>
      <c r="Y33">
        <f>IF(AND(W33&gt;=80,V33&gt;=80,K33&gt;=80),15000,
IF(AND(W33&gt;=50,V33&gt;=50,K33&gt;=50),10000,"No stipend"))</f>
        <v>10000</v>
      </c>
      <c r="Z33" t="str">
        <f t="shared" si="4"/>
        <v>intern for 6 month</v>
      </c>
    </row>
    <row r="34" spans="1:26" x14ac:dyDescent="0.25">
      <c r="A34" t="s">
        <v>77</v>
      </c>
      <c r="B34" t="s">
        <v>150</v>
      </c>
      <c r="C34" t="s">
        <v>78</v>
      </c>
      <c r="D34" t="s">
        <v>33</v>
      </c>
      <c r="E34">
        <v>9876543240</v>
      </c>
      <c r="F34" t="s">
        <v>49</v>
      </c>
      <c r="G34" t="s">
        <v>26</v>
      </c>
      <c r="H34">
        <v>31</v>
      </c>
      <c r="I34">
        <v>31</v>
      </c>
      <c r="J34">
        <v>31</v>
      </c>
      <c r="K34" s="1">
        <f t="shared" si="0"/>
        <v>100</v>
      </c>
      <c r="L34" s="1">
        <v>4</v>
      </c>
      <c r="M34" t="s">
        <v>27</v>
      </c>
      <c r="N34">
        <v>94</v>
      </c>
      <c r="O34" t="s">
        <v>27</v>
      </c>
      <c r="P34">
        <v>95</v>
      </c>
      <c r="Q34" t="s">
        <v>27</v>
      </c>
      <c r="R34">
        <v>95</v>
      </c>
      <c r="S34" t="s">
        <v>27</v>
      </c>
      <c r="T34">
        <v>94</v>
      </c>
      <c r="U34">
        <f>COUNTIF(M34:O34:Q34:S34,"Yes")</f>
        <v>4</v>
      </c>
      <c r="V34">
        <f t="shared" si="1"/>
        <v>100</v>
      </c>
      <c r="W34" s="1">
        <f t="shared" si="2"/>
        <v>94.5</v>
      </c>
      <c r="X34" t="str">
        <f t="shared" si="5"/>
        <v>Outstanding</v>
      </c>
      <c r="Y34">
        <f t="shared" si="3"/>
        <v>15000</v>
      </c>
      <c r="Z34" t="str">
        <f t="shared" si="4"/>
        <v>Hiring</v>
      </c>
    </row>
    <row r="35" spans="1:26" x14ac:dyDescent="0.25">
      <c r="A35" t="s">
        <v>110</v>
      </c>
      <c r="B35" t="s">
        <v>151</v>
      </c>
      <c r="C35" t="s">
        <v>79</v>
      </c>
      <c r="D35" t="s">
        <v>30</v>
      </c>
      <c r="E35">
        <v>9876543241</v>
      </c>
      <c r="F35" t="s">
        <v>43</v>
      </c>
      <c r="G35" t="s">
        <v>26</v>
      </c>
      <c r="H35">
        <v>31</v>
      </c>
      <c r="I35">
        <v>31</v>
      </c>
      <c r="J35">
        <v>31</v>
      </c>
      <c r="K35" s="1">
        <f t="shared" si="0"/>
        <v>100</v>
      </c>
      <c r="L35" s="1">
        <v>4</v>
      </c>
      <c r="M35" t="s">
        <v>27</v>
      </c>
      <c r="N35">
        <v>91</v>
      </c>
      <c r="O35" t="s">
        <v>27</v>
      </c>
      <c r="P35">
        <v>86</v>
      </c>
      <c r="Q35" t="s">
        <v>27</v>
      </c>
      <c r="R35">
        <v>90</v>
      </c>
      <c r="S35" t="s">
        <v>27</v>
      </c>
      <c r="T35">
        <v>92</v>
      </c>
      <c r="U35">
        <f>COUNTIF(M35:O35:Q35:S35,"Yes")</f>
        <v>4</v>
      </c>
      <c r="V35">
        <f t="shared" si="1"/>
        <v>100</v>
      </c>
      <c r="W35" s="1">
        <f t="shared" si="2"/>
        <v>89.75</v>
      </c>
      <c r="X35" t="str">
        <f t="shared" si="5"/>
        <v>Excellent</v>
      </c>
      <c r="Y35">
        <f>IF(AND(W35&gt;=80,V35&gt;=80,K35&gt;=80),15000,
IF(AND(W35&gt;=50,V35&gt;=50,K35&gt;=50),10000,"No stipend"))</f>
        <v>15000</v>
      </c>
      <c r="Z35" t="str">
        <f t="shared" si="4"/>
        <v>Hiring</v>
      </c>
    </row>
    <row r="36" spans="1:26" x14ac:dyDescent="0.25">
      <c r="A36" t="s">
        <v>80</v>
      </c>
      <c r="B36" t="s">
        <v>152</v>
      </c>
      <c r="C36" t="s">
        <v>81</v>
      </c>
      <c r="D36" t="s">
        <v>33</v>
      </c>
      <c r="E36">
        <v>9876543242</v>
      </c>
      <c r="F36" t="s">
        <v>185</v>
      </c>
      <c r="G36" t="s">
        <v>26</v>
      </c>
      <c r="H36">
        <v>31</v>
      </c>
      <c r="I36">
        <v>24</v>
      </c>
      <c r="J36">
        <v>22</v>
      </c>
      <c r="K36" s="1">
        <f t="shared" si="0"/>
        <v>74.193548387096769</v>
      </c>
      <c r="L36" s="1">
        <v>4</v>
      </c>
      <c r="M36" t="s">
        <v>27</v>
      </c>
      <c r="N36">
        <v>72</v>
      </c>
      <c r="O36" t="s">
        <v>27</v>
      </c>
      <c r="P36">
        <v>96</v>
      </c>
      <c r="Q36" t="s">
        <v>34</v>
      </c>
      <c r="R36">
        <v>0</v>
      </c>
      <c r="S36" t="s">
        <v>27</v>
      </c>
      <c r="T36">
        <v>70</v>
      </c>
      <c r="U36">
        <f>COUNTIF(M36:O36:Q36:S36,"Yes")</f>
        <v>3</v>
      </c>
      <c r="V36">
        <f t="shared" si="1"/>
        <v>75</v>
      </c>
      <c r="W36" s="1">
        <f t="shared" si="2"/>
        <v>59.5</v>
      </c>
      <c r="X36" t="str">
        <f t="shared" si="5"/>
        <v>Average</v>
      </c>
      <c r="Y36">
        <f t="shared" si="3"/>
        <v>10000</v>
      </c>
      <c r="Z36" t="str">
        <f t="shared" si="4"/>
        <v>intern for 6 month</v>
      </c>
    </row>
    <row r="37" spans="1:26" x14ac:dyDescent="0.25">
      <c r="A37" t="s">
        <v>82</v>
      </c>
      <c r="B37" t="s">
        <v>153</v>
      </c>
      <c r="C37" t="s">
        <v>83</v>
      </c>
      <c r="D37" t="s">
        <v>30</v>
      </c>
      <c r="E37">
        <v>9876543243</v>
      </c>
      <c r="F37" t="s">
        <v>36</v>
      </c>
      <c r="G37" t="s">
        <v>26</v>
      </c>
      <c r="H37">
        <v>31</v>
      </c>
      <c r="I37">
        <v>31</v>
      </c>
      <c r="J37">
        <v>30</v>
      </c>
      <c r="K37" s="1">
        <f t="shared" si="0"/>
        <v>98.387096774193552</v>
      </c>
      <c r="L37" s="1">
        <v>4</v>
      </c>
      <c r="M37" t="s">
        <v>27</v>
      </c>
      <c r="N37">
        <v>95</v>
      </c>
      <c r="O37" t="s">
        <v>27</v>
      </c>
      <c r="P37">
        <v>82</v>
      </c>
      <c r="Q37" t="s">
        <v>27</v>
      </c>
      <c r="R37">
        <v>96</v>
      </c>
      <c r="S37" t="s">
        <v>27</v>
      </c>
      <c r="T37">
        <v>94</v>
      </c>
      <c r="U37">
        <f>COUNTIF(M37:O37:Q37:S37,"Yes")</f>
        <v>4</v>
      </c>
      <c r="V37">
        <f t="shared" si="1"/>
        <v>100</v>
      </c>
      <c r="W37" s="1">
        <f t="shared" si="2"/>
        <v>91.75</v>
      </c>
      <c r="X37" t="str">
        <f t="shared" si="5"/>
        <v>Outstanding</v>
      </c>
      <c r="Y37">
        <f t="shared" si="3"/>
        <v>15000</v>
      </c>
      <c r="Z37" t="str">
        <f t="shared" si="4"/>
        <v>Hiring</v>
      </c>
    </row>
    <row r="38" spans="1:26" x14ac:dyDescent="0.25">
      <c r="A38" t="s">
        <v>84</v>
      </c>
      <c r="B38" t="s">
        <v>153</v>
      </c>
      <c r="C38" t="s">
        <v>83</v>
      </c>
      <c r="D38" t="s">
        <v>30</v>
      </c>
      <c r="E38">
        <v>9876543244</v>
      </c>
      <c r="F38" t="s">
        <v>36</v>
      </c>
      <c r="G38" t="s">
        <v>52</v>
      </c>
      <c r="H38">
        <v>31</v>
      </c>
      <c r="I38">
        <v>31</v>
      </c>
      <c r="J38">
        <v>30</v>
      </c>
      <c r="K38" s="1">
        <f t="shared" si="0"/>
        <v>98.387096774193552</v>
      </c>
      <c r="L38" s="1">
        <v>4</v>
      </c>
      <c r="M38" t="s">
        <v>27</v>
      </c>
      <c r="N38">
        <v>96</v>
      </c>
      <c r="O38" t="s">
        <v>27</v>
      </c>
      <c r="P38">
        <v>81</v>
      </c>
      <c r="Q38" t="s">
        <v>27</v>
      </c>
      <c r="R38">
        <v>97</v>
      </c>
      <c r="S38" t="s">
        <v>27</v>
      </c>
      <c r="T38">
        <v>94</v>
      </c>
      <c r="U38">
        <f>COUNTIF(M38:O38:Q38:S38,"Yes")</f>
        <v>4</v>
      </c>
      <c r="V38">
        <f t="shared" si="1"/>
        <v>100</v>
      </c>
      <c r="W38" s="1">
        <f t="shared" si="2"/>
        <v>92</v>
      </c>
      <c r="X38" t="str">
        <f t="shared" si="5"/>
        <v>Outstanding</v>
      </c>
      <c r="Y38">
        <f>IF(AND(W38&gt;=80,V38&gt;=80,K38&gt;=80),15000,
IF(AND(W38&gt;=50,V38&gt;=50,K38&gt;=50),10000,"No stipend"))</f>
        <v>15000</v>
      </c>
      <c r="Z38" t="str">
        <f t="shared" si="4"/>
        <v>Hiring</v>
      </c>
    </row>
    <row r="39" spans="1:26" x14ac:dyDescent="0.25">
      <c r="A39" t="s">
        <v>84</v>
      </c>
      <c r="B39" t="s">
        <v>154</v>
      </c>
      <c r="C39" t="s">
        <v>85</v>
      </c>
      <c r="D39" t="s">
        <v>33</v>
      </c>
      <c r="E39">
        <v>9876543244</v>
      </c>
      <c r="F39" t="s">
        <v>38</v>
      </c>
      <c r="G39" t="s">
        <v>26</v>
      </c>
      <c r="H39">
        <v>31</v>
      </c>
      <c r="I39">
        <v>11</v>
      </c>
      <c r="J39">
        <v>10</v>
      </c>
      <c r="K39" s="1">
        <f t="shared" si="0"/>
        <v>33.87096774193548</v>
      </c>
      <c r="L39" s="1">
        <v>4</v>
      </c>
      <c r="M39" t="s">
        <v>34</v>
      </c>
      <c r="N39">
        <v>0</v>
      </c>
      <c r="O39" t="s">
        <v>34</v>
      </c>
      <c r="P39">
        <v>80</v>
      </c>
      <c r="Q39" t="s">
        <v>34</v>
      </c>
      <c r="R39">
        <v>0</v>
      </c>
      <c r="S39" t="s">
        <v>34</v>
      </c>
      <c r="T39">
        <v>0</v>
      </c>
      <c r="U39">
        <f>COUNTIF(M39:O39:Q39:S39,"Yes")</f>
        <v>0</v>
      </c>
      <c r="V39">
        <f t="shared" si="1"/>
        <v>0</v>
      </c>
      <c r="W39" s="1">
        <f t="shared" si="2"/>
        <v>20</v>
      </c>
      <c r="X39" t="str">
        <f t="shared" si="5"/>
        <v>Improvement</v>
      </c>
      <c r="Y39" t="str">
        <f t="shared" si="3"/>
        <v>No stipend</v>
      </c>
      <c r="Z39" t="str">
        <f t="shared" si="4"/>
        <v>intern for 1 month</v>
      </c>
    </row>
    <row r="40" spans="1:26" x14ac:dyDescent="0.25">
      <c r="A40" t="s">
        <v>86</v>
      </c>
      <c r="B40" t="s">
        <v>155</v>
      </c>
      <c r="C40" t="s">
        <v>87</v>
      </c>
      <c r="D40" t="s">
        <v>30</v>
      </c>
      <c r="E40">
        <v>9876543245</v>
      </c>
      <c r="F40" t="s">
        <v>49</v>
      </c>
      <c r="G40" t="s">
        <v>26</v>
      </c>
      <c r="H40">
        <v>31</v>
      </c>
      <c r="I40">
        <v>31</v>
      </c>
      <c r="J40">
        <v>31</v>
      </c>
      <c r="K40" s="1">
        <f t="shared" si="0"/>
        <v>100</v>
      </c>
      <c r="L40" s="1">
        <v>4</v>
      </c>
      <c r="M40" t="s">
        <v>27</v>
      </c>
      <c r="N40">
        <v>98</v>
      </c>
      <c r="O40" t="s">
        <v>27</v>
      </c>
      <c r="P40">
        <v>80</v>
      </c>
      <c r="Q40" t="s">
        <v>27</v>
      </c>
      <c r="R40">
        <v>97</v>
      </c>
      <c r="S40" t="s">
        <v>27</v>
      </c>
      <c r="T40">
        <v>98</v>
      </c>
      <c r="U40">
        <f>COUNTIF(M40:O40:Q40:S40,"Yes")</f>
        <v>4</v>
      </c>
      <c r="V40">
        <f t="shared" si="1"/>
        <v>100</v>
      </c>
      <c r="W40" s="1">
        <f t="shared" si="2"/>
        <v>93.25</v>
      </c>
      <c r="X40" t="str">
        <f t="shared" si="5"/>
        <v>Outstanding</v>
      </c>
      <c r="Y40">
        <f t="shared" si="3"/>
        <v>15000</v>
      </c>
      <c r="Z40" t="str">
        <f t="shared" si="4"/>
        <v>Hiring</v>
      </c>
    </row>
    <row r="41" spans="1:26" x14ac:dyDescent="0.25">
      <c r="A41" t="s">
        <v>111</v>
      </c>
      <c r="B41" t="s">
        <v>156</v>
      </c>
      <c r="C41" t="s">
        <v>180</v>
      </c>
      <c r="D41" t="s">
        <v>33</v>
      </c>
      <c r="E41">
        <v>9876543246</v>
      </c>
      <c r="F41" t="s">
        <v>43</v>
      </c>
      <c r="G41" t="s">
        <v>26</v>
      </c>
      <c r="H41">
        <v>31</v>
      </c>
      <c r="I41">
        <v>28</v>
      </c>
      <c r="J41">
        <v>29</v>
      </c>
      <c r="K41" s="1">
        <f t="shared" si="0"/>
        <v>91.935483870967744</v>
      </c>
      <c r="L41" s="1">
        <v>4</v>
      </c>
      <c r="M41" t="s">
        <v>27</v>
      </c>
      <c r="N41">
        <v>85</v>
      </c>
      <c r="O41" t="s">
        <v>27</v>
      </c>
      <c r="P41">
        <v>86</v>
      </c>
      <c r="Q41" t="s">
        <v>27</v>
      </c>
      <c r="R41">
        <v>82</v>
      </c>
      <c r="S41" t="s">
        <v>27</v>
      </c>
      <c r="T41">
        <v>84</v>
      </c>
      <c r="U41">
        <f>COUNTIF(M41:O41:Q41:S41,"Yes")</f>
        <v>4</v>
      </c>
      <c r="V41">
        <f>(U41/L41)*100</f>
        <v>100</v>
      </c>
      <c r="W41" s="1">
        <f t="shared" si="2"/>
        <v>84.25</v>
      </c>
      <c r="X41" t="str">
        <f t="shared" si="5"/>
        <v>Excellent</v>
      </c>
      <c r="Y41">
        <f t="shared" si="3"/>
        <v>15000</v>
      </c>
      <c r="Z41" t="str">
        <f t="shared" si="4"/>
        <v>Hiring</v>
      </c>
    </row>
    <row r="42" spans="1:26" x14ac:dyDescent="0.25">
      <c r="A42" t="s">
        <v>88</v>
      </c>
      <c r="B42" t="s">
        <v>157</v>
      </c>
      <c r="C42" t="s">
        <v>89</v>
      </c>
      <c r="D42" t="s">
        <v>30</v>
      </c>
      <c r="E42">
        <v>9876543247</v>
      </c>
      <c r="F42" t="s">
        <v>185</v>
      </c>
      <c r="G42" t="s">
        <v>26</v>
      </c>
      <c r="H42">
        <v>31</v>
      </c>
      <c r="I42">
        <v>30</v>
      </c>
      <c r="J42">
        <v>30</v>
      </c>
      <c r="K42" s="1">
        <f t="shared" si="0"/>
        <v>96.774193548387103</v>
      </c>
      <c r="L42" s="1">
        <v>4</v>
      </c>
      <c r="M42" t="s">
        <v>27</v>
      </c>
      <c r="N42">
        <v>89</v>
      </c>
      <c r="O42" t="s">
        <v>27</v>
      </c>
      <c r="P42">
        <v>82</v>
      </c>
      <c r="Q42" t="s">
        <v>27</v>
      </c>
      <c r="R42">
        <v>90</v>
      </c>
      <c r="S42" t="s">
        <v>27</v>
      </c>
      <c r="T42">
        <v>88</v>
      </c>
      <c r="U42">
        <f>COUNTIF(M42:O42:Q42:S42,"Yes")</f>
        <v>4</v>
      </c>
      <c r="V42">
        <f t="shared" si="1"/>
        <v>100</v>
      </c>
      <c r="W42" s="1">
        <f t="shared" si="2"/>
        <v>87.25</v>
      </c>
      <c r="X42" t="str">
        <f t="shared" si="5"/>
        <v>Excellent</v>
      </c>
      <c r="Y42">
        <f t="shared" si="3"/>
        <v>15000</v>
      </c>
      <c r="Z42" t="str">
        <f t="shared" si="4"/>
        <v>Hiring</v>
      </c>
    </row>
    <row r="43" spans="1:26" x14ac:dyDescent="0.25">
      <c r="A43" t="s">
        <v>112</v>
      </c>
      <c r="B43" t="s">
        <v>158</v>
      </c>
      <c r="C43" t="s">
        <v>90</v>
      </c>
      <c r="D43" t="s">
        <v>33</v>
      </c>
      <c r="E43">
        <v>9876543248</v>
      </c>
      <c r="F43" t="s">
        <v>36</v>
      </c>
      <c r="G43" t="s">
        <v>26</v>
      </c>
      <c r="H43">
        <v>31</v>
      </c>
      <c r="I43">
        <v>14</v>
      </c>
      <c r="J43">
        <v>15</v>
      </c>
      <c r="K43" s="1">
        <f t="shared" si="0"/>
        <v>46.774193548387096</v>
      </c>
      <c r="L43" s="1">
        <v>4</v>
      </c>
      <c r="M43" t="s">
        <v>34</v>
      </c>
      <c r="N43">
        <v>0</v>
      </c>
      <c r="O43" t="s">
        <v>34</v>
      </c>
      <c r="P43">
        <v>0</v>
      </c>
      <c r="Q43" t="s">
        <v>27</v>
      </c>
      <c r="R43">
        <v>55</v>
      </c>
      <c r="S43" t="s">
        <v>34</v>
      </c>
      <c r="T43">
        <v>0</v>
      </c>
      <c r="U43">
        <f>COUNTIF(M43:O43:Q43:S43,"Yes")</f>
        <v>1</v>
      </c>
      <c r="V43">
        <f t="shared" si="1"/>
        <v>25</v>
      </c>
      <c r="W43" s="1">
        <f t="shared" si="2"/>
        <v>13.75</v>
      </c>
      <c r="X43" t="str">
        <f t="shared" si="5"/>
        <v>Improvement</v>
      </c>
      <c r="Y43" t="str">
        <f t="shared" si="3"/>
        <v>No stipend</v>
      </c>
      <c r="Z43" t="str">
        <f t="shared" si="4"/>
        <v>intern for 1 month</v>
      </c>
    </row>
    <row r="44" spans="1:26" x14ac:dyDescent="0.25">
      <c r="A44" t="s">
        <v>91</v>
      </c>
      <c r="B44" t="s">
        <v>159</v>
      </c>
      <c r="C44" t="s">
        <v>181</v>
      </c>
      <c r="D44" t="s">
        <v>30</v>
      </c>
      <c r="E44">
        <v>9876543249</v>
      </c>
      <c r="F44" t="s">
        <v>38</v>
      </c>
      <c r="G44" t="s">
        <v>26</v>
      </c>
      <c r="H44">
        <v>31</v>
      </c>
      <c r="I44">
        <v>26</v>
      </c>
      <c r="J44">
        <v>25</v>
      </c>
      <c r="K44" s="1">
        <f t="shared" si="0"/>
        <v>82.258064516129039</v>
      </c>
      <c r="L44" s="1">
        <v>4</v>
      </c>
      <c r="M44" t="s">
        <v>27</v>
      </c>
      <c r="N44">
        <v>78</v>
      </c>
      <c r="O44" t="s">
        <v>27</v>
      </c>
      <c r="P44">
        <v>84</v>
      </c>
      <c r="Q44" t="s">
        <v>27</v>
      </c>
      <c r="R44">
        <v>74</v>
      </c>
      <c r="S44" t="s">
        <v>27</v>
      </c>
      <c r="T44">
        <v>76</v>
      </c>
      <c r="U44">
        <f>COUNTIF(M44:O44:Q44:S44,"Yes")</f>
        <v>4</v>
      </c>
      <c r="V44">
        <f t="shared" si="1"/>
        <v>100</v>
      </c>
      <c r="W44" s="1">
        <f t="shared" si="2"/>
        <v>78</v>
      </c>
      <c r="X44" t="str">
        <f t="shared" si="5"/>
        <v>Excellent</v>
      </c>
      <c r="Y44">
        <f t="shared" si="3"/>
        <v>10000</v>
      </c>
      <c r="Z44" t="str">
        <f t="shared" si="4"/>
        <v>intern for 6 month</v>
      </c>
    </row>
    <row r="45" spans="1:26" x14ac:dyDescent="0.25">
      <c r="A45" t="s">
        <v>113</v>
      </c>
      <c r="B45" t="s">
        <v>160</v>
      </c>
      <c r="C45" t="s">
        <v>92</v>
      </c>
      <c r="D45" t="s">
        <v>33</v>
      </c>
      <c r="E45">
        <v>9876543250</v>
      </c>
      <c r="F45" t="s">
        <v>49</v>
      </c>
      <c r="G45" t="s">
        <v>26</v>
      </c>
      <c r="H45">
        <v>31</v>
      </c>
      <c r="I45">
        <v>31</v>
      </c>
      <c r="J45">
        <v>31</v>
      </c>
      <c r="K45" s="1">
        <f t="shared" si="0"/>
        <v>100</v>
      </c>
      <c r="L45" s="1">
        <v>4</v>
      </c>
      <c r="M45" t="s">
        <v>27</v>
      </c>
      <c r="N45">
        <v>96</v>
      </c>
      <c r="O45" t="s">
        <v>27</v>
      </c>
      <c r="P45">
        <v>89</v>
      </c>
      <c r="Q45" t="s">
        <v>27</v>
      </c>
      <c r="R45">
        <v>95</v>
      </c>
      <c r="S45" t="s">
        <v>27</v>
      </c>
      <c r="T45">
        <v>96</v>
      </c>
      <c r="U45">
        <f>COUNTIF(M45:O45:Q45:S45,"Yes")</f>
        <v>4</v>
      </c>
      <c r="V45">
        <f t="shared" si="1"/>
        <v>100</v>
      </c>
      <c r="W45" s="1">
        <f t="shared" si="2"/>
        <v>94</v>
      </c>
      <c r="X45" t="str">
        <f t="shared" si="5"/>
        <v>Outstanding</v>
      </c>
      <c r="Y45">
        <f t="shared" si="3"/>
        <v>15000</v>
      </c>
      <c r="Z45" t="str">
        <f t="shared" si="4"/>
        <v>Hiring</v>
      </c>
    </row>
    <row r="46" spans="1:26" x14ac:dyDescent="0.25">
      <c r="A46" t="s">
        <v>114</v>
      </c>
      <c r="B46" t="s">
        <v>161</v>
      </c>
      <c r="C46" t="s">
        <v>182</v>
      </c>
      <c r="D46" t="s">
        <v>30</v>
      </c>
      <c r="E46">
        <v>9876543251</v>
      </c>
      <c r="F46" t="s">
        <v>43</v>
      </c>
      <c r="G46" t="s">
        <v>26</v>
      </c>
      <c r="H46">
        <v>31</v>
      </c>
      <c r="I46">
        <v>31</v>
      </c>
      <c r="J46">
        <v>31</v>
      </c>
      <c r="K46" s="1">
        <f t="shared" si="0"/>
        <v>100</v>
      </c>
      <c r="L46" s="1">
        <v>4</v>
      </c>
      <c r="M46" t="s">
        <v>27</v>
      </c>
      <c r="N46">
        <v>93</v>
      </c>
      <c r="O46" t="s">
        <v>27</v>
      </c>
      <c r="P46">
        <v>70</v>
      </c>
      <c r="Q46" t="s">
        <v>27</v>
      </c>
      <c r="R46">
        <v>94</v>
      </c>
      <c r="S46" t="s">
        <v>27</v>
      </c>
      <c r="T46">
        <v>92</v>
      </c>
      <c r="U46">
        <f>COUNTIF(M46:O46:Q46:S46,"Yes")</f>
        <v>4</v>
      </c>
      <c r="V46">
        <f t="shared" si="1"/>
        <v>100</v>
      </c>
      <c r="W46" s="1">
        <f t="shared" si="2"/>
        <v>87.25</v>
      </c>
      <c r="X46" t="str">
        <f t="shared" si="5"/>
        <v>Excellent</v>
      </c>
      <c r="Y46">
        <f t="shared" si="3"/>
        <v>15000</v>
      </c>
      <c r="Z46" t="str">
        <f t="shared" si="4"/>
        <v>Hiring</v>
      </c>
    </row>
    <row r="47" spans="1:26" x14ac:dyDescent="0.25">
      <c r="A47" t="s">
        <v>115</v>
      </c>
      <c r="B47" t="s">
        <v>162</v>
      </c>
      <c r="C47" t="s">
        <v>93</v>
      </c>
      <c r="D47" t="s">
        <v>33</v>
      </c>
      <c r="E47">
        <v>9876543252</v>
      </c>
      <c r="F47" t="s">
        <v>185</v>
      </c>
      <c r="G47" t="s">
        <v>26</v>
      </c>
      <c r="H47">
        <v>31</v>
      </c>
      <c r="I47">
        <v>20</v>
      </c>
      <c r="J47">
        <v>21</v>
      </c>
      <c r="K47" s="1">
        <f t="shared" si="0"/>
        <v>66.129032258064512</v>
      </c>
      <c r="L47" s="1">
        <v>4</v>
      </c>
      <c r="M47" t="s">
        <v>27</v>
      </c>
      <c r="N47">
        <v>68</v>
      </c>
      <c r="O47" t="s">
        <v>34</v>
      </c>
      <c r="P47">
        <v>0</v>
      </c>
      <c r="Q47" t="s">
        <v>34</v>
      </c>
      <c r="R47">
        <v>0</v>
      </c>
      <c r="S47" t="s">
        <v>27</v>
      </c>
      <c r="T47">
        <v>65</v>
      </c>
      <c r="U47">
        <f>COUNTIF(M47:O47:Q47:S47,"Yes")</f>
        <v>2</v>
      </c>
      <c r="V47">
        <f t="shared" si="1"/>
        <v>50</v>
      </c>
      <c r="W47" s="1">
        <f t="shared" si="2"/>
        <v>33.25</v>
      </c>
      <c r="X47" t="str">
        <f t="shared" si="5"/>
        <v>Improvement</v>
      </c>
      <c r="Y47" t="str">
        <f t="shared" si="3"/>
        <v>No stipend</v>
      </c>
      <c r="Z47" t="str">
        <f t="shared" si="4"/>
        <v>intern for 1 month</v>
      </c>
    </row>
    <row r="48" spans="1:26" x14ac:dyDescent="0.25">
      <c r="A48" t="s">
        <v>116</v>
      </c>
      <c r="B48" t="s">
        <v>163</v>
      </c>
      <c r="C48" t="s">
        <v>183</v>
      </c>
      <c r="D48" t="s">
        <v>30</v>
      </c>
      <c r="E48">
        <v>9876543253</v>
      </c>
      <c r="F48" t="s">
        <v>36</v>
      </c>
      <c r="G48" t="s">
        <v>26</v>
      </c>
      <c r="H48">
        <v>31</v>
      </c>
      <c r="I48">
        <v>31</v>
      </c>
      <c r="J48">
        <v>31</v>
      </c>
      <c r="K48" s="1">
        <f t="shared" si="0"/>
        <v>100</v>
      </c>
      <c r="L48" s="1">
        <v>4</v>
      </c>
      <c r="M48" t="s">
        <v>27</v>
      </c>
      <c r="N48">
        <v>94</v>
      </c>
      <c r="O48" t="s">
        <v>27</v>
      </c>
      <c r="P48">
        <v>75</v>
      </c>
      <c r="Q48" t="s">
        <v>27</v>
      </c>
      <c r="R48">
        <v>93</v>
      </c>
      <c r="S48" t="s">
        <v>27</v>
      </c>
      <c r="T48">
        <v>95</v>
      </c>
      <c r="U48">
        <f>COUNTIF(M48:O48:Q48:S48,"Yes")</f>
        <v>4</v>
      </c>
      <c r="V48">
        <f t="shared" si="1"/>
        <v>100</v>
      </c>
      <c r="W48" s="1">
        <f t="shared" si="2"/>
        <v>89.25</v>
      </c>
      <c r="X48" t="str">
        <f t="shared" si="5"/>
        <v>Excellent</v>
      </c>
      <c r="Y48">
        <f>IF(AND(W48&gt;=80,V48&gt;=80,K48&gt;=80),15000,
IF(AND(W48&gt;=50,V48&gt;=50,K48&gt;=50),10000,"No stipend"))</f>
        <v>15000</v>
      </c>
      <c r="Z48" t="str">
        <f t="shared" si="4"/>
        <v>Hiring</v>
      </c>
    </row>
    <row r="49" spans="1:26" x14ac:dyDescent="0.25">
      <c r="A49" t="s">
        <v>117</v>
      </c>
      <c r="B49" t="s">
        <v>164</v>
      </c>
      <c r="C49" t="s">
        <v>94</v>
      </c>
      <c r="D49" t="s">
        <v>33</v>
      </c>
      <c r="E49">
        <v>9876543254</v>
      </c>
      <c r="F49" t="s">
        <v>38</v>
      </c>
      <c r="G49" t="s">
        <v>26</v>
      </c>
      <c r="H49">
        <v>31</v>
      </c>
      <c r="I49">
        <v>12</v>
      </c>
      <c r="J49">
        <v>11</v>
      </c>
      <c r="K49" s="1">
        <f t="shared" si="0"/>
        <v>37.096774193548384</v>
      </c>
      <c r="L49" s="1">
        <v>4</v>
      </c>
      <c r="M49" t="s">
        <v>34</v>
      </c>
      <c r="N49">
        <v>0</v>
      </c>
      <c r="O49" t="s">
        <v>34</v>
      </c>
      <c r="P49">
        <v>0</v>
      </c>
      <c r="Q49" t="s">
        <v>34</v>
      </c>
      <c r="R49">
        <v>0</v>
      </c>
      <c r="S49" t="s">
        <v>34</v>
      </c>
      <c r="T49">
        <v>0</v>
      </c>
      <c r="U49">
        <f>COUNTIF(M49:O49:Q49:S49,"Yes")</f>
        <v>0</v>
      </c>
      <c r="V49">
        <f>(U49/L49)*100</f>
        <v>0</v>
      </c>
      <c r="W49" s="1">
        <f t="shared" si="2"/>
        <v>0</v>
      </c>
      <c r="X49" t="str">
        <f t="shared" si="5"/>
        <v>Improvement</v>
      </c>
      <c r="Y49" t="str">
        <f t="shared" si="3"/>
        <v>No stipend</v>
      </c>
      <c r="Z49" t="str">
        <f t="shared" si="4"/>
        <v>intern for 1 month</v>
      </c>
    </row>
    <row r="50" spans="1:26" x14ac:dyDescent="0.25">
      <c r="A50" t="s">
        <v>95</v>
      </c>
      <c r="B50" t="s">
        <v>165</v>
      </c>
      <c r="C50" t="s">
        <v>96</v>
      </c>
      <c r="D50" t="s">
        <v>30</v>
      </c>
      <c r="E50">
        <v>9876543255</v>
      </c>
      <c r="F50" t="s">
        <v>49</v>
      </c>
      <c r="G50" t="s">
        <v>26</v>
      </c>
      <c r="H50">
        <v>31</v>
      </c>
      <c r="I50">
        <v>31</v>
      </c>
      <c r="J50">
        <v>31</v>
      </c>
      <c r="K50" s="1">
        <f t="shared" si="0"/>
        <v>100</v>
      </c>
      <c r="L50" s="1">
        <v>4</v>
      </c>
      <c r="M50" t="s">
        <v>27</v>
      </c>
      <c r="N50">
        <v>97</v>
      </c>
      <c r="O50" t="s">
        <v>27</v>
      </c>
      <c r="P50">
        <v>70</v>
      </c>
      <c r="Q50" t="s">
        <v>27</v>
      </c>
      <c r="R50">
        <v>98</v>
      </c>
      <c r="S50" t="s">
        <v>27</v>
      </c>
      <c r="T50">
        <v>97</v>
      </c>
      <c r="U50">
        <f>COUNTIF(M50:O50:Q50:S50,"Yes")</f>
        <v>4</v>
      </c>
      <c r="V50">
        <f t="shared" si="1"/>
        <v>100</v>
      </c>
      <c r="W50" s="1">
        <f t="shared" si="2"/>
        <v>90.5</v>
      </c>
      <c r="X50" t="str">
        <f t="shared" si="5"/>
        <v>Outstanding</v>
      </c>
      <c r="Y50">
        <f t="shared" si="3"/>
        <v>15000</v>
      </c>
      <c r="Z50" t="str">
        <f t="shared" si="4"/>
        <v>Hiring</v>
      </c>
    </row>
    <row r="51" spans="1:26" x14ac:dyDescent="0.25">
      <c r="A51" t="s">
        <v>118</v>
      </c>
      <c r="B51" t="s">
        <v>166</v>
      </c>
      <c r="C51" t="s">
        <v>97</v>
      </c>
      <c r="D51" t="s">
        <v>33</v>
      </c>
      <c r="E51">
        <v>9876543256</v>
      </c>
      <c r="F51" t="s">
        <v>43</v>
      </c>
      <c r="G51" t="s">
        <v>26</v>
      </c>
      <c r="H51">
        <v>31</v>
      </c>
      <c r="I51">
        <v>28</v>
      </c>
      <c r="J51">
        <v>27</v>
      </c>
      <c r="K51" s="1">
        <f t="shared" si="0"/>
        <v>88.709677419354833</v>
      </c>
      <c r="L51" s="1">
        <v>4</v>
      </c>
      <c r="M51" t="s">
        <v>27</v>
      </c>
      <c r="N51">
        <v>84</v>
      </c>
      <c r="O51" t="s">
        <v>27</v>
      </c>
      <c r="P51">
        <v>75</v>
      </c>
      <c r="Q51" t="s">
        <v>27</v>
      </c>
      <c r="R51">
        <v>86</v>
      </c>
      <c r="S51" t="s">
        <v>27</v>
      </c>
      <c r="T51">
        <v>83</v>
      </c>
      <c r="U51">
        <f>COUNTIF(M51:O51:Q51:S51,"Yes")</f>
        <v>4</v>
      </c>
      <c r="V51">
        <f t="shared" si="1"/>
        <v>100</v>
      </c>
      <c r="W51" s="1">
        <f t="shared" si="2"/>
        <v>82</v>
      </c>
      <c r="X51" t="str">
        <f t="shared" si="5"/>
        <v>Excellent</v>
      </c>
      <c r="Y51">
        <f>IF(AND(W51&gt;=80,V51&gt;=80,K51&gt;=80),15000,
IF(AND(W51&gt;=50,V51&gt;=50,K51&gt;=50),10000,"No stipend"))</f>
        <v>15000</v>
      </c>
      <c r="Z51" t="str">
        <f t="shared" si="4"/>
        <v>Hiring</v>
      </c>
    </row>
    <row r="52" spans="1:26" x14ac:dyDescent="0.25">
      <c r="A52" t="s">
        <v>98</v>
      </c>
      <c r="B52" t="s">
        <v>167</v>
      </c>
      <c r="C52" t="s">
        <v>184</v>
      </c>
      <c r="D52" t="s">
        <v>30</v>
      </c>
      <c r="E52">
        <v>9876543257</v>
      </c>
      <c r="F52" t="s">
        <v>185</v>
      </c>
      <c r="G52" t="s">
        <v>26</v>
      </c>
      <c r="H52">
        <v>31</v>
      </c>
      <c r="I52">
        <v>31</v>
      </c>
      <c r="J52">
        <v>30</v>
      </c>
      <c r="K52" s="1">
        <f t="shared" si="0"/>
        <v>98.387096774193552</v>
      </c>
      <c r="L52" s="1">
        <v>4</v>
      </c>
      <c r="M52" t="s">
        <v>27</v>
      </c>
      <c r="N52">
        <v>91</v>
      </c>
      <c r="O52" t="s">
        <v>27</v>
      </c>
      <c r="P52">
        <v>70</v>
      </c>
      <c r="Q52" t="s">
        <v>27</v>
      </c>
      <c r="R52">
        <v>92</v>
      </c>
      <c r="S52" t="s">
        <v>27</v>
      </c>
      <c r="T52">
        <v>90</v>
      </c>
      <c r="U52">
        <f>COUNTIF(M52:O52:Q52:S52,"Yes")</f>
        <v>4</v>
      </c>
      <c r="V52">
        <f t="shared" si="1"/>
        <v>100</v>
      </c>
      <c r="W52" s="1">
        <f t="shared" si="2"/>
        <v>85.75</v>
      </c>
      <c r="X52" t="str">
        <f t="shared" si="5"/>
        <v>Excellent</v>
      </c>
      <c r="Y52">
        <f t="shared" si="3"/>
        <v>15000</v>
      </c>
      <c r="Z52" t="str">
        <f t="shared" si="4"/>
        <v>Hiring</v>
      </c>
    </row>
    <row r="53" spans="1:26" x14ac:dyDescent="0.25">
      <c r="A53" t="s">
        <v>99</v>
      </c>
      <c r="B53" t="s">
        <v>168</v>
      </c>
      <c r="C53" t="s">
        <v>100</v>
      </c>
      <c r="D53" t="s">
        <v>33</v>
      </c>
      <c r="E53">
        <v>9876543258</v>
      </c>
      <c r="F53" t="s">
        <v>36</v>
      </c>
      <c r="G53" t="s">
        <v>26</v>
      </c>
      <c r="H53">
        <v>31</v>
      </c>
      <c r="I53">
        <v>16</v>
      </c>
      <c r="J53">
        <v>14</v>
      </c>
      <c r="K53" s="1">
        <f t="shared" si="0"/>
        <v>48.387096774193552</v>
      </c>
      <c r="L53" s="1">
        <v>4</v>
      </c>
      <c r="M53" t="s">
        <v>34</v>
      </c>
      <c r="N53">
        <v>0</v>
      </c>
      <c r="O53" t="s">
        <v>34</v>
      </c>
      <c r="P53">
        <v>0</v>
      </c>
      <c r="Q53" t="s">
        <v>27</v>
      </c>
      <c r="R53">
        <v>48</v>
      </c>
      <c r="S53" t="s">
        <v>34</v>
      </c>
      <c r="T53">
        <v>0</v>
      </c>
      <c r="U53">
        <f>COUNTIF(M53:O53:Q53:S53,"Yes")</f>
        <v>1</v>
      </c>
      <c r="V53">
        <f t="shared" si="1"/>
        <v>25</v>
      </c>
      <c r="W53" s="1">
        <f>(N53+P53+R53+T53)/L53</f>
        <v>12</v>
      </c>
      <c r="X53" t="str">
        <f t="shared" si="5"/>
        <v>Improvement</v>
      </c>
      <c r="Y53" t="str">
        <f>IF(AND(W53&gt;=80,V53&gt;=80,K53&gt;=80),15000,
IF(AND(W53&gt;=50,V53&gt;=50,K53&gt;=50),10000,"No stipend"))</f>
        <v>No stipend</v>
      </c>
      <c r="Z53" t="str">
        <f t="shared" si="4"/>
        <v>intern for 1 month</v>
      </c>
    </row>
    <row r="54" spans="1:26" x14ac:dyDescent="0.25">
      <c r="A54" t="s">
        <v>119</v>
      </c>
      <c r="B54" t="s">
        <v>169</v>
      </c>
      <c r="C54" t="s">
        <v>101</v>
      </c>
      <c r="D54" t="s">
        <v>30</v>
      </c>
      <c r="E54">
        <v>9876543259</v>
      </c>
      <c r="F54" t="s">
        <v>38</v>
      </c>
      <c r="G54" t="s">
        <v>26</v>
      </c>
      <c r="H54">
        <v>31</v>
      </c>
      <c r="I54">
        <v>29</v>
      </c>
      <c r="J54">
        <v>29</v>
      </c>
      <c r="K54" s="1">
        <f t="shared" si="0"/>
        <v>93.548387096774192</v>
      </c>
      <c r="L54" s="1">
        <v>4</v>
      </c>
      <c r="M54" t="s">
        <v>27</v>
      </c>
      <c r="N54">
        <v>88</v>
      </c>
      <c r="O54" t="s">
        <v>27</v>
      </c>
      <c r="P54">
        <v>79</v>
      </c>
      <c r="Q54" t="s">
        <v>27</v>
      </c>
      <c r="R54">
        <v>87</v>
      </c>
      <c r="S54" t="s">
        <v>27</v>
      </c>
      <c r="T54">
        <v>89</v>
      </c>
      <c r="U54">
        <f>COUNTIF(M54:O54:Q54:S54,"Yes")</f>
        <v>4</v>
      </c>
      <c r="V54">
        <f t="shared" si="1"/>
        <v>100</v>
      </c>
      <c r="W54" s="1">
        <f t="shared" si="2"/>
        <v>85.75</v>
      </c>
      <c r="X54" t="str">
        <f t="shared" si="5"/>
        <v>Excellent</v>
      </c>
      <c r="Y54">
        <f t="shared" si="3"/>
        <v>15000</v>
      </c>
      <c r="Z54" t="str">
        <f t="shared" si="4"/>
        <v>Hiring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 dataset uncleaned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2026-03-26T03:55:36Z</dcterms:created>
  <dcterms:modified xsi:type="dcterms:W3CDTF">2026-03-28T05:16:46Z</dcterms:modified>
</cp:coreProperties>
</file>